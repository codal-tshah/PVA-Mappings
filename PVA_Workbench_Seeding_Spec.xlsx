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 Invento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Dropdown Values" sheetId="4" state="visible" r:id="rId4"/>
    <sheet xmlns:r="http://schemas.openxmlformats.org/officeDocument/2006/relationships" name="Calculated Fields" sheetId="5" state="visible" r:id="rId5"/>
    <sheet xmlns:r="http://schemas.openxmlformats.org/officeDocument/2006/relationships" name="Tab Relationships" sheetId="6" state="visible" r:id="rId6"/>
    <sheet xmlns:r="http://schemas.openxmlformats.org/officeDocument/2006/relationships" name="Notes 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C2833"/>
      <sz val="9"/>
    </font>
    <font>
      <name val="Arial"/>
      <color rgb="001C2833"/>
      <sz val="9"/>
    </font>
    <font>
      <name val="Consolas"/>
      <color rgb="001C2833"/>
      <sz val="8"/>
    </font>
    <font>
      <name val="Arial"/>
      <i val="1"/>
      <color rgb="001C2833"/>
      <sz val="9"/>
    </font>
  </fonts>
  <fills count="18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A8D8A8"/>
      </patternFill>
    </fill>
    <fill>
      <patternFill patternType="solid">
        <fgColor rgb="00FEE2E2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D6EAF8"/>
      </patternFill>
    </fill>
    <fill>
      <patternFill patternType="solid">
        <fgColor rgb="00FDE8D0"/>
      </patternFill>
    </fill>
    <fill>
      <patternFill patternType="solid">
        <fgColor rgb="00D5F5E3"/>
      </patternFill>
    </fill>
    <fill>
      <patternFill patternType="solid">
        <fgColor rgb="002E75B6"/>
      </patternFill>
    </fill>
    <fill>
      <patternFill patternType="solid">
        <fgColor rgb="00FFFBEB"/>
      </patternFill>
    </fill>
  </fills>
  <borders count="2">
    <border/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8" customWidth="1" style="4" min="1" max="1"/>
    <col width="22" customWidth="1" style="4" min="2" max="2"/>
    <col width="48" customWidth="1" style="4" min="3" max="3"/>
    <col width="22" customWidth="1" style="4" min="4" max="4"/>
    <col width="40" customWidth="1" style="4" min="5" max="5"/>
  </cols>
  <sheetData>
    <row r="1" ht="32" customHeight="1" s="4">
      <c r="A1" s="5" t="inlineStr">
        <is>
          <t>Tab Inventory — PVA Workbench (28 In-Scope Tabs)</t>
        </is>
      </c>
    </row>
    <row r="2" ht="18" customHeight="1" s="4">
      <c r="A2" s="6" t="inlineStr">
        <is>
          <t>Tab Name</t>
        </is>
      </c>
      <c r="B2" s="6" t="inlineStr">
        <is>
          <t>Category</t>
        </is>
      </c>
      <c r="C2" s="6" t="inlineStr">
        <is>
          <t>Purpose</t>
        </is>
      </c>
      <c r="D2" s="6" t="inlineStr">
        <is>
          <t>Input / Calc / Output</t>
        </is>
      </c>
      <c r="E2" s="6" t="inlineStr">
        <is>
          <t>Notes / Key Dependency</t>
        </is>
      </c>
    </row>
    <row r="3" ht="45" customHeight="1" s="4">
      <c r="A3" s="7" t="inlineStr">
        <is>
          <t>File Info</t>
        </is>
      </c>
      <c r="B3" s="8" t="inlineStr">
        <is>
          <t>Project Setup</t>
        </is>
      </c>
      <c r="C3" s="8" t="inlineStr">
        <is>
          <t>Project metadata, property identity, owner, address, invoice, version info. Subject ID (I13) is the master key that drives DB auto-import across all tabs.</t>
        </is>
      </c>
      <c r="D3" s="9" t="inlineStr">
        <is>
          <t>Input + Calculated</t>
        </is>
      </c>
      <c r="E3" s="8" t="inlineStr">
        <is>
          <t>Subject ID → drives DB import to ALL tabs. Property Major Type → drives Settings dropdown chain.</t>
        </is>
      </c>
    </row>
    <row r="4" ht="45" customHeight="1" s="4">
      <c r="A4" s="10" t="inlineStr">
        <is>
          <t>Settings</t>
        </is>
      </c>
      <c r="B4" s="11" t="inlineStr">
        <is>
          <t>Master Config</t>
        </is>
      </c>
      <c r="C4" s="11" t="inlineStr">
        <is>
          <t>Master control panel. Every tab's Show/Hide columns, active sections, and narrative outputs are driven by pva* named ranges set here.</t>
        </is>
      </c>
      <c r="D4" s="12" t="inlineStr">
        <is>
          <t>Input + Dropdown</t>
        </is>
      </c>
      <c r="E4" s="11" t="inlineStr">
        <is>
          <t>CRITICAL: Property Type key (pvaPropertyTypeKey) used by ALL 27 other tabs. Approach toggles activate/deactivate entire tab groups.</t>
        </is>
      </c>
    </row>
    <row r="5" ht="45" customHeight="1" s="4">
      <c r="A5" s="7" t="inlineStr">
        <is>
          <t>Dates, Premises</t>
        </is>
      </c>
      <c r="B5" s="8" t="inlineStr">
        <is>
          <t>Valuation Setup</t>
        </is>
      </c>
      <c r="C5" s="8" t="inlineStr">
        <is>
          <t>Report date, inspection date, valuation premises (As Is / Upon Completion / As Stabilized), value type, interest appraised, marketing/exposure time.</t>
        </is>
      </c>
      <c r="D5" s="12" t="inlineStr">
        <is>
          <t>Input + Dropdown</t>
        </is>
      </c>
      <c r="E5" s="8" t="inlineStr">
        <is>
          <t>Drives premise labels in DirectCapConclusion and Values tab.</t>
        </is>
      </c>
    </row>
    <row r="6" ht="45" customHeight="1" s="4">
      <c r="A6" s="10" t="inlineStr">
        <is>
          <t>Contracts, History</t>
        </is>
      </c>
      <c r="B6" s="11" t="inlineStr">
        <is>
          <t>Subject Data</t>
        </is>
      </c>
      <c r="C6" s="11" t="inlineStr">
        <is>
          <t>Subject transaction history: current listing, pending contract, options, and up to 3 prior arm's-length sales. DB auto-imports transfer records via Subject ID.</t>
        </is>
      </c>
      <c r="D6" s="9" t="inlineStr">
        <is>
          <t>Input + Calculated</t>
        </is>
      </c>
      <c r="E6" s="11" t="inlineStr">
        <is>
          <t>Transfer data auto-populated from DB via Subject ID on File Info.</t>
        </is>
      </c>
    </row>
    <row r="7" ht="45" customHeight="1" s="4">
      <c r="A7" s="7" t="inlineStr">
        <is>
          <t>Scope</t>
        </is>
      </c>
      <c r="B7" s="8" t="inlineStr">
        <is>
          <t>Report Setup</t>
        </is>
      </c>
      <c r="C7" s="8" t="inlineStr">
        <is>
          <t>Scope of work: report type (USPAP), intended use/users, inspection method, approaches included. Drives narrative generation via N1* named ranges.</t>
        </is>
      </c>
      <c r="D7" s="12" t="inlineStr">
        <is>
          <t>Input + Dropdown</t>
        </is>
      </c>
      <c r="E7" s="8" t="inlineStr">
        <is>
          <t>Report Type → N1 narrative. Approach selections must match Settings.</t>
        </is>
      </c>
    </row>
    <row r="8" ht="45" customHeight="1" s="4">
      <c r="A8" s="10" t="inlineStr">
        <is>
          <t>Site</t>
        </is>
      </c>
      <c r="B8" s="11" t="inlineStr">
        <is>
          <t>Physical Description</t>
        </is>
      </c>
      <c r="C8" s="11" t="inlineStr">
        <is>
          <t>Site characteristics per parcel: address, APN, land area (acres/SF), topography, flood zone, utilities, frontage, visibility. Supports up to 5 parcels.</t>
        </is>
      </c>
      <c r="D8" s="9" t="inlineStr">
        <is>
          <t>Input + Calculated</t>
        </is>
      </c>
      <c r="E8" s="11" t="inlineStr">
        <is>
          <t>Land SF = Acres × 43,560. Feeds Land Grid subject header. pvaPropertyTypeKey controls column visibility.</t>
        </is>
      </c>
    </row>
    <row r="9" ht="45" customHeight="1" s="4">
      <c r="A9" s="7" t="inlineStr">
        <is>
          <t>Zoning</t>
        </is>
      </c>
      <c r="B9" s="8" t="inlineStr">
        <is>
          <t>Physical Description</t>
        </is>
      </c>
      <c r="C9" s="8" t="inlineStr">
        <is>
          <t>Zoning classifications (up to 4 zones): code, description, authority, permitted uses, conformity, FAR, height/setback limits, parking requirements.</t>
        </is>
      </c>
      <c r="D9" s="12" t="inlineStr">
        <is>
          <t>Input + Dropdown</t>
        </is>
      </c>
      <c r="E9" s="8" t="inlineStr">
        <is>
          <t>Conformity dropdown. Property Type key (row 19) routes column visibility.</t>
        </is>
      </c>
    </row>
    <row r="10" ht="45" customHeight="1" s="4">
      <c r="A10" s="10" t="inlineStr">
        <is>
          <t>Improvements</t>
        </is>
      </c>
      <c r="B10" s="11" t="inlineStr">
        <is>
          <t>Physical Description</t>
        </is>
      </c>
      <c r="C10" s="11" t="inlineStr">
        <is>
          <t>Building descriptions per building: year built, quality, condition, GBA, NRA, units, parking, construction type, HVAC, amenities. Supports multiple buildings.</t>
        </is>
      </c>
      <c r="D10" s="9" t="inlineStr">
        <is>
          <t>Input + Calculated</t>
        </is>
      </c>
      <c r="E10" s="11" t="inlineStr">
        <is>
          <t>GBA/NRA/Units feed Cost Approach, Sales Grid, MF Market Rent. Parking Ratio = Spaces ÷ Units (calculated).</t>
        </is>
      </c>
    </row>
    <row r="11" ht="45" customHeight="1" s="4">
      <c r="A11" s="7" t="inlineStr">
        <is>
          <t>Assessment</t>
        </is>
      </c>
      <c r="B11" s="8" t="inlineStr">
        <is>
          <t>Physical Description</t>
        </is>
      </c>
      <c r="C11" s="8" t="inlineStr">
        <is>
          <t>Tax assessment data per parcel: land/improvement assessed values, assessment ratio, tax rate, annual taxes, special assessments.</t>
        </is>
      </c>
      <c r="D11" s="9" t="inlineStr">
        <is>
          <t>Input + Calculated</t>
        </is>
      </c>
      <c r="E11" s="8" t="inlineStr">
        <is>
          <t>Annual Taxes feeds Capitalization &amp; Multipliers as Real Estate Taxes expense line.</t>
        </is>
      </c>
    </row>
    <row r="12" ht="45" customHeight="1" s="4">
      <c r="A12" s="10" t="inlineStr">
        <is>
          <t>Land Grid</t>
        </is>
      </c>
      <c r="B12" s="11" t="inlineStr">
        <is>
          <t>Cost Approach</t>
        </is>
      </c>
      <c r="C12" s="11" t="inlineStr">
        <is>
          <t>Comparable land sale analysis grid: up to 10 comps with sale price, land area, price/SF, price/acre, and full adjustment rows. DB IDs auto-populate comp data.</t>
        </is>
      </c>
      <c r="D12" s="9" t="inlineStr">
        <is>
          <t>Input + Calculated</t>
        </is>
      </c>
      <c r="E12" s="11" t="inlineStr">
        <is>
          <t>Adjusted prices feed Land Valuation. DB IDs link to Land Comp Profiles.</t>
        </is>
      </c>
    </row>
    <row r="13" ht="45" customHeight="1" s="4">
      <c r="A13" s="7" t="inlineStr">
        <is>
          <t>Land Valuation</t>
        </is>
      </c>
      <c r="B13" s="8" t="inlineStr">
        <is>
          <t>Cost Approach</t>
        </is>
      </c>
      <c r="C13" s="8" t="inlineStr">
        <is>
          <t>Land comparable adjustment grid with filter criteria. Rows: Sales Status, Rights, Financing, Conditions, Market, Location, Access, Size, Shape, Topography, Utilities, Zoning/Density.</t>
        </is>
      </c>
      <c r="D13" s="9" t="inlineStr">
        <is>
          <t>Input + Calculated</t>
        </is>
      </c>
      <c r="E13" s="8" t="inlineStr">
        <is>
          <t>Feeds land value conclusion to Cost Approach tab.</t>
        </is>
      </c>
    </row>
    <row r="14" ht="45" customHeight="1" s="4">
      <c r="A14" s="10" t="inlineStr">
        <is>
          <t>Land Comp Profiles</t>
        </is>
      </c>
      <c r="B14" s="11" t="inlineStr">
        <is>
          <t>Cost Approach</t>
        </is>
      </c>
      <c r="C14" s="11" t="inlineStr">
        <is>
          <t>Detailed printable profiles for each land comparable: full property data, site dimensions, zoning, sale data, photos. DB field mapping via col N / display name via col AA.</t>
        </is>
      </c>
      <c r="D14" s="12" t="inlineStr">
        <is>
          <t>Input</t>
        </is>
      </c>
      <c r="E14" s="11" t="inlineStr">
        <is>
          <t>Comp IDs link from Land Grid. Photos from DB.</t>
        </is>
      </c>
    </row>
    <row r="15" ht="45" customHeight="1" s="4">
      <c r="A15" s="7" t="inlineStr">
        <is>
          <t>Cost Approach Setup</t>
        </is>
      </c>
      <c r="B15" s="8" t="inlineStr">
        <is>
          <t>Cost Approach</t>
        </is>
      </c>
      <c r="C15" s="8" t="inlineStr">
        <is>
          <t>Cost approach configuration: Full vs Insurable Value, external obsolescence, cost comps, budget, going concern. All settings stored as pva* named ranges for VBA.</t>
        </is>
      </c>
      <c r="D15" s="13" t="inlineStr">
        <is>
          <t>Dropdown</t>
        </is>
      </c>
      <c r="E15" s="8" t="inlineStr">
        <is>
          <t>pvaCostApproach_* named ranges drive Cost tab Show/Hide. Must match Settings Cost Approach toggle.</t>
        </is>
      </c>
    </row>
    <row r="16" ht="45" customHeight="1" s="4">
      <c r="A16" s="10" t="inlineStr">
        <is>
          <t>Sales Grid</t>
        </is>
      </c>
      <c r="B16" s="11" t="inlineStr">
        <is>
          <t>Sales Approach</t>
        </is>
      </c>
      <c r="C16" s="11" t="inlineStr">
        <is>
          <t>Improved sale comp analysis grid: up to 10 comps with price, GBA, units, price/unit, price/SF, GRM and full adjustment rows. Comps auto-populated via DB IDs.</t>
        </is>
      </c>
      <c r="D16" s="9" t="inlineStr">
        <is>
          <t>Input + Calculated</t>
        </is>
      </c>
      <c r="E16" s="11" t="inlineStr">
        <is>
          <t>Adjusted price/unit and price/SF feed Sales Approach conclusion. Active comps: 3313 Camvic Ter, 2955 McMicken Ave, etc.</t>
        </is>
      </c>
    </row>
    <row r="17" ht="45" customHeight="1" s="4">
      <c r="A17" s="7" t="inlineStr">
        <is>
          <t>Sale Comp Profiles</t>
        </is>
      </c>
      <c r="B17" s="8" t="inlineStr">
        <is>
          <t>Sales Approach</t>
        </is>
      </c>
      <c r="C17" s="8" t="inlineStr">
        <is>
          <t>Detailed profiles for improved sale comps: full property, building, sale transaction data, financing terms, verification, photos.</t>
        </is>
      </c>
      <c r="D17" s="9" t="inlineStr">
        <is>
          <t>Input + Calculated</t>
        </is>
      </c>
      <c r="E17" s="8" t="inlineStr">
        <is>
          <t>Comp IDs link from Sales Grid. Price/unit and Price/SF are calculated.</t>
        </is>
      </c>
    </row>
    <row r="18" ht="45" customHeight="1" s="4">
      <c r="A18" s="10" t="inlineStr">
        <is>
          <t>Income Approach Setup</t>
        </is>
      </c>
      <c r="B18" s="11" t="inlineStr">
        <is>
          <t>Income Approach</t>
        </is>
      </c>
      <c r="C18" s="11" t="inlineStr">
        <is>
          <t>Income approach configuration: qty lease grids (1-3), qty historical statements, rental rate method, stabilization status, DCF method, projection count. Stored as pvaIncomeApproach_* named ranges.</t>
        </is>
      </c>
      <c r="D18" s="13" t="inlineStr">
        <is>
          <t>Dropdown</t>
        </is>
      </c>
      <c r="E18" s="11" t="inlineStr">
        <is>
          <t>Controls activation of all income tabs. pvaIncomeApproach_RentalRateMethod auto-set from state via tblRentalRateMethod.</t>
        </is>
      </c>
    </row>
    <row r="19" ht="45" customHeight="1" s="4">
      <c r="A19" s="7" t="inlineStr">
        <is>
          <t>Rent Roll Input</t>
        </is>
      </c>
      <c r="B19" s="8" t="inlineStr">
        <is>
          <t>Income Approach</t>
        </is>
      </c>
      <c r="C19" s="8" t="inlineStr">
        <is>
          <t>Raw rent roll paste area. Row 4: column header mapping (dropdown). Row 7+: pasted unit-level data. Column headers map to system fields: Unit#, Type, Bed, Bath, SF, Status, Asking/Contract Rent, Lease dates.</t>
        </is>
      </c>
      <c r="D19" s="12" t="inlineStr">
        <is>
          <t>Input + Dropdown</t>
        </is>
      </c>
      <c r="E19" s="8" t="inlineStr">
        <is>
          <t>Feeds Rent Roll Master (auto-generated). Feeds MF Market Rent unit types. Asset ID (A1) links to DB.</t>
        </is>
      </c>
    </row>
    <row r="20" ht="45" customHeight="1" s="4">
      <c r="A20" s="10" t="inlineStr">
        <is>
          <t>Rent Roll Config</t>
        </is>
      </c>
      <c r="B20" s="11" t="inlineStr">
        <is>
          <t>Income Approach</t>
        </is>
      </c>
      <c r="C20" s="11" t="inlineStr">
        <is>
          <t>Unit mix grouping rules: group by Bed/Bath/Type/Renovation/SF. Unit naming (abc/123/prefix). Affordable label. UnitMix_ConfigID per row — referenced by MF Market Rent.</t>
        </is>
      </c>
      <c r="D20" s="12" t="inlineStr">
        <is>
          <t>Input + Dropdown</t>
        </is>
      </c>
      <c r="E20" s="11" t="inlineStr">
        <is>
          <t>UnitMix_ConfigID → MF Market Rent row structure. Feeds Rent Roll Master grouping.</t>
        </is>
      </c>
    </row>
    <row r="21" ht="45" customHeight="1" s="4">
      <c r="A21" s="7" t="inlineStr">
        <is>
          <t>Lease Grid</t>
        </is>
      </c>
      <c r="B21" s="8" t="inlineStr">
        <is>
          <t>Income Approach</t>
        </is>
      </c>
      <c r="C21" s="8" t="inlineStr">
        <is>
          <t>Lease comp analysis grid: up to 10 comps with lease date, term, size, base rent, rent type, concessions, effective rent, and adjustment rows. Separate grids for MF vs commercial.</t>
        </is>
      </c>
      <c r="D21" s="9" t="inlineStr">
        <is>
          <t>Input + Calculated</t>
        </is>
      </c>
      <c r="E21" s="8" t="inlineStr">
        <is>
          <t>Up to 3 instances (pvaIncomeApproach_QtyLeaseGrids). Selected rates feed Market Rent conclusions.</t>
        </is>
      </c>
    </row>
    <row r="22" ht="45" customHeight="1" s="4">
      <c r="A22" s="10" t="inlineStr">
        <is>
          <t>Market Rent</t>
        </is>
      </c>
      <c r="B22" s="11" t="inlineStr">
        <is>
          <t>Income Approach</t>
        </is>
      </c>
      <c r="C22" s="11" t="inlineStr">
        <is>
          <t>Utilities cost burden analysis (who pays Water/Sewer/Trash/Electric/Gas/Cable/Heat/Internet/Hot Water/Other). Produces N1_chtRentUtilitiesCostBurden named range for report narrative.</t>
        </is>
      </c>
      <c r="D22" s="9" t="inlineStr">
        <is>
          <t>Input + Dropdown + Calculated</t>
        </is>
      </c>
      <c r="E22" s="11" t="inlineStr">
        <is>
          <t>Feeds N1* narrative named ranges. Conclusions flow to MF Market Rent.</t>
        </is>
      </c>
    </row>
    <row r="23" ht="45" customHeight="1" s="4">
      <c r="A23" s="7" t="inlineStr">
        <is>
          <t>MF Market Rent</t>
        </is>
      </c>
      <c r="B23" s="8" t="inlineStr">
        <is>
          <t>Income Approach</t>
        </is>
      </c>
      <c r="C23" s="8" t="inlineStr">
        <is>
          <t>Multi-family market rent by unit type: # units, avg SF, rentable area, occupancy by status, asking/contract rents, PSF metrics. Unit types auto-populated from Rent Roll Config.</t>
        </is>
      </c>
      <c r="D23" s="9" t="inlineStr">
        <is>
          <t>Input + Calculated</t>
        </is>
      </c>
      <c r="E23" s="8" t="inlineStr">
        <is>
          <t>Pro Forma EGI feeds MF Lease Up. Asking rents feed Capitalization &amp; Multipliers PGI. Column index links to Rent Roll Master row 2.</t>
        </is>
      </c>
    </row>
    <row r="24" ht="45" customHeight="1" s="4">
      <c r="A24" s="10" t="inlineStr">
        <is>
          <t>Rent Comp Profiles</t>
        </is>
      </c>
      <c r="B24" s="11" t="inlineStr">
        <is>
          <t>Income Approach</t>
        </is>
      </c>
      <c r="C24" s="11" t="inlineStr">
        <is>
          <t>Detailed profiles for rent comparables: property data, unit mix, occupancy, asking/contract rents by unit type, amenities, photos.</t>
        </is>
      </c>
      <c r="D24" s="9" t="inlineStr">
        <is>
          <t>Input + Calculated</t>
        </is>
      </c>
      <c r="E24" s="11" t="inlineStr">
        <is>
          <t>Comp IDs link from Lease Grid. PSF metrics calculated.</t>
        </is>
      </c>
    </row>
    <row r="25" ht="45" customHeight="1" s="4">
      <c r="A25" s="7" t="inlineStr">
        <is>
          <t>Capitalization and Multipliers</t>
        </is>
      </c>
      <c r="B25" s="8" t="inlineStr">
        <is>
          <t>Income Approach</t>
        </is>
      </c>
      <c r="C25" s="8" t="inlineStr">
        <is>
          <t>Direct cap income analysis: PGI sources (Rent Roll or manual), V&amp;CL, EGI, operating expenses (8+ categories), NOI, cap rate selection, indicated value. Historical spreading (T-12 + 6 years + YTD + Budget).</t>
        </is>
      </c>
      <c r="D25" s="9" t="inlineStr">
        <is>
          <t>Input + Calculated</t>
        </is>
      </c>
      <c r="E25" s="8" t="inlineStr">
        <is>
          <t>NOI feeds DirectCapConclusion. Real Estate Taxes auto-populated from Assessment. @Spell() formulas convert values to written words. MSA auto-populated from tblPwC_MSA via pvaCbsaId.</t>
        </is>
      </c>
    </row>
    <row r="26" ht="45" customHeight="1" s="4">
      <c r="A26" s="10" t="inlineStr">
        <is>
          <t>Investor Survey Input</t>
        </is>
      </c>
      <c r="B26" s="11" t="inlineStr">
        <is>
          <t>Income Approach</t>
        </is>
      </c>
      <c r="C26" s="11" t="inlineStr">
        <is>
          <t>Market participant interview log: respondent name/firm, confidentiality flag, date, geographic scope (National/Regional/Market), cap rate and discount rate indications.</t>
        </is>
      </c>
      <c r="D26" s="12" t="inlineStr">
        <is>
          <t>Input + Dropdown</t>
        </is>
      </c>
      <c r="E26" s="11" t="inlineStr">
        <is>
          <t>pvaMktSur_* named ranges feed narrative. Feeds Investor Survey Output display.</t>
        </is>
      </c>
    </row>
    <row r="27" ht="45" customHeight="1" s="4">
      <c r="A27" s="7" t="inlineStr">
        <is>
          <t>Investor Survey Output</t>
        </is>
      </c>
      <c r="B27" s="8" t="inlineStr">
        <is>
          <t>Income Approach</t>
        </is>
      </c>
      <c r="C27" s="8" t="inlineStr">
        <is>
          <t>Third-party investor survey data display (Situs RERC, PwC, Nareit, NCREIF): cap rate ranges, terminal cap rates, discount rates by property type, MSA, and period. Auto-populated via MarketSurvey API.</t>
        </is>
      </c>
      <c r="D27" s="13" t="inlineStr">
        <is>
          <t>Calculated + Dropdown</t>
        </is>
      </c>
      <c r="E27" s="8" t="inlineStr">
        <is>
          <t>Feeds cap rate support in DirectCapConclusion. Period End auto-calc: LET(TODAY()-45…). LIST_InvestorSurveyYears drives period dropdowns.</t>
        </is>
      </c>
    </row>
    <row r="28" ht="45" customHeight="1" s="4">
      <c r="A28" s="10" t="inlineStr">
        <is>
          <t>MF Lease Up</t>
        </is>
      </c>
      <c r="B28" s="11" t="inlineStr">
        <is>
          <t>Income Approach</t>
        </is>
      </c>
      <c r="C28" s="11" t="inlineStr">
        <is>
          <t>Lease-up discount analysis: starting occupancy, absorption period (months), monthly EGI/expense forecast schedule, NOI loss calculation, present value of NOI loss at selected discount rate.</t>
        </is>
      </c>
      <c r="D28" s="9" t="inlineStr">
        <is>
          <t>Input + Calculated</t>
        </is>
      </c>
      <c r="E28" s="11" t="inlineStr">
        <is>
          <t>PV of NOI loss feeds DirectCapConclusion as lease-up discount. Pro Forma EGI linked from MF Market Rent. Expenses linked from Cap &amp; Mult.</t>
        </is>
      </c>
    </row>
    <row r="29" ht="45" customHeight="1" s="4">
      <c r="A29" s="7" t="inlineStr">
        <is>
          <t>DirectCapConclusion</t>
        </is>
      </c>
      <c r="B29" s="8" t="inlineStr">
        <is>
          <t>Value Conclusion</t>
        </is>
      </c>
      <c r="C29" s="8" t="inlineStr">
        <is>
          <t>Final direct cap value conclusion: 7+ risk factor analysis (Income, Physical, Location, Market, HBU, Age, Economic), cap rate pressure rating, historical NOI summary, cap rate selection, indicated value, lease-up discount, As-Is concluded value.</t>
        </is>
      </c>
      <c r="D29" s="9" t="inlineStr">
        <is>
          <t>Input + Calculated + Dropdown</t>
        </is>
      </c>
      <c r="E29" s="8" t="inlineStr">
        <is>
          <t>NOI from Cap &amp; Mult. Lease-Up Discount from MF Lease Up. As-Is Value feeds Values tab N1AsIsValue. @Spell() converts to words for narrative.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5" customWidth="1" style="4" min="1" max="1"/>
    <col width="35" customWidth="1" style="4" min="2" max="2"/>
    <col width="10" customWidth="1" style="4" min="3" max="3"/>
    <col width="10" customWidth="1" style="4" min="4" max="4"/>
    <col width="10" customWidth="1" style="4" min="5" max="5"/>
    <col width="14" customWidth="1" style="4" min="6" max="6"/>
    <col width="18" customWidth="1" style="4" min="7" max="7"/>
    <col width="15" customWidth="1" style="4" min="8" max="8"/>
    <col width="30" customWidth="1" style="4" min="9" max="9"/>
  </cols>
  <sheetData>
    <row r="1" ht="32" customHeight="1" s="4">
      <c r="A1" s="5" t="inlineStr">
        <is>
          <t>Field Inventory — All Fields Across All 28 Tabs</t>
        </is>
      </c>
    </row>
    <row r="2" ht="18" customHeight="1" s="4">
      <c r="A2" s="6" t="inlineStr">
        <is>
          <t>Tab Name</t>
        </is>
      </c>
      <c r="B2" s="6" t="inlineStr">
        <is>
          <t>Field Name</t>
        </is>
      </c>
      <c r="C2" s="6" t="inlineStr">
        <is>
          <t>Input</t>
        </is>
      </c>
      <c r="D2" s="6" t="inlineStr">
        <is>
          <t>Calculated</t>
        </is>
      </c>
      <c r="E2" s="6" t="inlineStr">
        <is>
          <t>Dropdown</t>
        </is>
      </c>
      <c r="F2" s="6" t="inlineStr">
        <is>
          <t>Data Type</t>
        </is>
      </c>
      <c r="G2" s="6" t="inlineStr">
        <is>
          <t>Required?</t>
        </is>
      </c>
      <c r="H2" s="6" t="inlineStr">
        <is>
          <t>Named Range / Key</t>
        </is>
      </c>
      <c r="I2" s="6" t="inlineStr">
        <is>
          <t>Notes / Validation</t>
        </is>
      </c>
    </row>
    <row r="3" ht="14" customHeight="1" s="4">
      <c r="A3" s="7" t="inlineStr">
        <is>
          <t>File Info</t>
        </is>
      </c>
      <c r="B3" s="14" t="inlineStr">
        <is>
          <t>Subject ID</t>
        </is>
      </c>
      <c r="C3" s="15" t="inlineStr">
        <is>
          <t>Y</t>
        </is>
      </c>
      <c r="D3" s="16" t="inlineStr"/>
      <c r="E3" s="16" t="inlineStr"/>
      <c r="F3" s="14" t="inlineStr">
        <is>
          <t>Text/ID</t>
        </is>
      </c>
      <c r="G3" s="17" t="inlineStr">
        <is>
          <t>Required</t>
        </is>
      </c>
      <c r="H3" s="11" t="inlineStr">
        <is>
          <t>N1DBNo</t>
        </is>
      </c>
      <c r="I3" s="14" t="inlineStr">
        <is>
          <t>Master key — drives DB auto-import across all tabs. Cell I13.</t>
        </is>
      </c>
    </row>
    <row r="4" ht="14" customHeight="1" s="4">
      <c r="A4" s="10" t="inlineStr">
        <is>
          <t>File Info</t>
        </is>
      </c>
      <c r="B4" s="14" t="inlineStr">
        <is>
          <t>Office File / Number</t>
        </is>
      </c>
      <c r="C4" s="15" t="inlineStr">
        <is>
          <t>Y</t>
        </is>
      </c>
      <c r="D4" s="16" t="inlineStr"/>
      <c r="E4" s="16" t="inlineStr"/>
      <c r="F4" s="14" t="inlineStr">
        <is>
          <t>Text</t>
        </is>
      </c>
      <c r="G4" s="17" t="inlineStr">
        <is>
          <t>Required</t>
        </is>
      </c>
      <c r="H4" s="8" t="inlineStr"/>
      <c r="I4" s="14" t="inlineStr">
        <is>
          <t>Internal job/file number</t>
        </is>
      </c>
    </row>
    <row r="5" ht="14" customHeight="1" s="4">
      <c r="A5" s="7" t="inlineStr">
        <is>
          <t>File Info</t>
        </is>
      </c>
      <c r="B5" s="14" t="inlineStr">
        <is>
          <t>Due Date</t>
        </is>
      </c>
      <c r="C5" s="15" t="inlineStr">
        <is>
          <t>Y</t>
        </is>
      </c>
      <c r="D5" s="16" t="inlineStr"/>
      <c r="E5" s="16" t="inlineStr"/>
      <c r="F5" s="14" t="inlineStr">
        <is>
          <t>Date</t>
        </is>
      </c>
      <c r="G5" s="17" t="inlineStr">
        <is>
          <t>Required</t>
        </is>
      </c>
      <c r="H5" s="8" t="inlineStr"/>
      <c r="I5" s="14" t="inlineStr">
        <is>
          <t>Appraisal due date</t>
        </is>
      </c>
    </row>
    <row r="6" ht="14" customHeight="1" s="4">
      <c r="A6" s="10" t="inlineStr">
        <is>
          <t>File Info</t>
        </is>
      </c>
      <c r="B6" s="14" t="inlineStr">
        <is>
          <t>Property Name</t>
        </is>
      </c>
      <c r="C6" s="15" t="inlineStr">
        <is>
          <t>Y</t>
        </is>
      </c>
      <c r="D6" s="16" t="inlineStr"/>
      <c r="E6" s="16" t="inlineStr"/>
      <c r="F6" s="14" t="inlineStr">
        <is>
          <t>Text</t>
        </is>
      </c>
      <c r="G6" s="17" t="inlineStr">
        <is>
          <t>Required</t>
        </is>
      </c>
      <c r="H6" s="8" t="inlineStr"/>
      <c r="I6" s="14" t="inlineStr">
        <is>
          <t>e.g. 'Markham Q4 2025' — appears in all report headers</t>
        </is>
      </c>
    </row>
    <row r="7" ht="14" customHeight="1" s="4">
      <c r="A7" s="7" t="inlineStr">
        <is>
          <t>File Info</t>
        </is>
      </c>
      <c r="B7" s="18" t="inlineStr">
        <is>
          <t>Property Major Type</t>
        </is>
      </c>
      <c r="C7" s="16" t="inlineStr"/>
      <c r="D7" s="16" t="inlineStr"/>
      <c r="E7" s="15" t="inlineStr">
        <is>
          <t>Y</t>
        </is>
      </c>
      <c r="F7" s="18" t="inlineStr">
        <is>
          <t>Dropdown</t>
        </is>
      </c>
      <c r="G7" s="17" t="inlineStr">
        <is>
          <t>Required</t>
        </is>
      </c>
      <c r="H7" s="11" t="inlineStr">
        <is>
          <t>pvaPropertyTypeKey</t>
        </is>
      </c>
      <c r="I7" s="18" t="inlineStr">
        <is>
          <t>Multi-Family | Retail-Commercial | Office | Industrial | Shopping Center | Health Care | Senior Housing | Self-Storage | Lodging &amp; Hospitality</t>
        </is>
      </c>
    </row>
    <row r="8" ht="14" customHeight="1" s="4">
      <c r="A8" s="10" t="inlineStr">
        <is>
          <t>File Info</t>
        </is>
      </c>
      <c r="B8" s="18" t="inlineStr">
        <is>
          <t>Property Type (Subtype)</t>
        </is>
      </c>
      <c r="C8" s="16" t="inlineStr"/>
      <c r="D8" s="16" t="inlineStr"/>
      <c r="E8" s="15" t="inlineStr">
        <is>
          <t>Y</t>
        </is>
      </c>
      <c r="F8" s="18" t="inlineStr">
        <is>
          <t>Dropdown</t>
        </is>
      </c>
      <c r="G8" s="17" t="inlineStr">
        <is>
          <t>Required</t>
        </is>
      </c>
      <c r="H8" s="11" t="inlineStr">
        <is>
          <t>pvaPropertyTypeKeyDD</t>
        </is>
      </c>
      <c r="I8" s="18" t="inlineStr">
        <is>
          <t>e.g. Garden/Low-Rise — subtype within major type</t>
        </is>
      </c>
    </row>
    <row r="9" ht="14" customHeight="1" s="4">
      <c r="A9" s="7" t="inlineStr">
        <is>
          <t>File Info</t>
        </is>
      </c>
      <c r="B9" s="18" t="inlineStr">
        <is>
          <t>Property Sub-Type</t>
        </is>
      </c>
      <c r="C9" s="16" t="inlineStr"/>
      <c r="D9" s="16" t="inlineStr"/>
      <c r="E9" s="15" t="inlineStr">
        <is>
          <t>Y</t>
        </is>
      </c>
      <c r="F9" s="18" t="inlineStr">
        <is>
          <t>Dropdown</t>
        </is>
      </c>
      <c r="G9" s="19" t="inlineStr">
        <is>
          <t>Optional</t>
        </is>
      </c>
      <c r="H9" s="8" t="inlineStr"/>
      <c r="I9" s="18" t="inlineStr">
        <is>
          <t>Further subtype — varies by major type</t>
        </is>
      </c>
    </row>
    <row r="10" ht="14" customHeight="1" s="4">
      <c r="A10" s="10" t="inlineStr">
        <is>
          <t>File Info</t>
        </is>
      </c>
      <c r="B10" s="18" t="inlineStr">
        <is>
          <t>Existing or Proposed?</t>
        </is>
      </c>
      <c r="C10" s="16" t="inlineStr"/>
      <c r="D10" s="16" t="inlineStr"/>
      <c r="E10" s="15" t="inlineStr">
        <is>
          <t>Y</t>
        </is>
      </c>
      <c r="F10" s="18" t="inlineStr">
        <is>
          <t>Dropdown</t>
        </is>
      </c>
      <c r="G10" s="17" t="inlineStr">
        <is>
          <t>Required</t>
        </is>
      </c>
      <c r="H10" s="8" t="inlineStr"/>
      <c r="I10" s="18" t="inlineStr">
        <is>
          <t>Existing | Proposed | Under Construction | Vacant Land</t>
        </is>
      </c>
    </row>
    <row r="11" ht="14" customHeight="1" s="4">
      <c r="A11" s="7" t="inlineStr">
        <is>
          <t>File Info</t>
        </is>
      </c>
      <c r="B11" s="14" t="inlineStr">
        <is>
          <t>Owner Name</t>
        </is>
      </c>
      <c r="C11" s="15" t="inlineStr">
        <is>
          <t>Y</t>
        </is>
      </c>
      <c r="D11" s="16" t="inlineStr"/>
      <c r="E11" s="16" t="inlineStr"/>
      <c r="F11" s="14" t="inlineStr">
        <is>
          <t>Text</t>
        </is>
      </c>
      <c r="G11" s="17" t="inlineStr">
        <is>
          <t>Required</t>
        </is>
      </c>
      <c r="H11" s="8" t="inlineStr"/>
      <c r="I11" s="14" t="inlineStr">
        <is>
          <t>e.g. MARKHAM OWNER LLC</t>
        </is>
      </c>
    </row>
    <row r="12" ht="14" customHeight="1" s="4">
      <c r="A12" s="10" t="inlineStr">
        <is>
          <t>File Info</t>
        </is>
      </c>
      <c r="B12" s="14" t="inlineStr">
        <is>
          <t>Address</t>
        </is>
      </c>
      <c r="C12" s="15" t="inlineStr">
        <is>
          <t>Y</t>
        </is>
      </c>
      <c r="D12" s="16" t="inlineStr"/>
      <c r="E12" s="16" t="inlineStr"/>
      <c r="F12" s="14" t="inlineStr">
        <is>
          <t>Text</t>
        </is>
      </c>
      <c r="G12" s="17" t="inlineStr">
        <is>
          <t>Required</t>
        </is>
      </c>
      <c r="H12" s="8" t="inlineStr"/>
      <c r="I12" s="14" t="inlineStr">
        <is>
          <t>Street address — 20800 Homestead Road</t>
        </is>
      </c>
    </row>
    <row r="13" ht="14" customHeight="1" s="4">
      <c r="A13" s="7" t="inlineStr">
        <is>
          <t>File Info</t>
        </is>
      </c>
      <c r="B13" s="14" t="inlineStr">
        <is>
          <t>City</t>
        </is>
      </c>
      <c r="C13" s="15" t="inlineStr">
        <is>
          <t>Y</t>
        </is>
      </c>
      <c r="D13" s="16" t="inlineStr"/>
      <c r="E13" s="16" t="inlineStr"/>
      <c r="F13" s="14" t="inlineStr">
        <is>
          <t>Text</t>
        </is>
      </c>
      <c r="G13" s="17" t="inlineStr">
        <is>
          <t>Required</t>
        </is>
      </c>
      <c r="H13" s="11" t="inlineStr">
        <is>
          <t>N1City</t>
        </is>
      </c>
      <c r="I13" s="14" t="inlineStr">
        <is>
          <t>City name — Cupertino</t>
        </is>
      </c>
    </row>
    <row r="14" ht="14" customHeight="1" s="4">
      <c r="A14" s="10" t="inlineStr">
        <is>
          <t>File Info</t>
        </is>
      </c>
      <c r="B14" s="14" t="inlineStr">
        <is>
          <t>County</t>
        </is>
      </c>
      <c r="C14" s="15" t="inlineStr">
        <is>
          <t>Y</t>
        </is>
      </c>
      <c r="D14" s="16" t="inlineStr"/>
      <c r="E14" s="16" t="inlineStr"/>
      <c r="F14" s="14" t="inlineStr">
        <is>
          <t>Text</t>
        </is>
      </c>
      <c r="G14" s="17" t="inlineStr">
        <is>
          <t>Required</t>
        </is>
      </c>
      <c r="H14" s="8" t="inlineStr"/>
      <c r="I14" s="14" t="inlineStr">
        <is>
          <t>Santa Clara</t>
        </is>
      </c>
    </row>
    <row r="15" ht="14" customHeight="1" s="4">
      <c r="A15" s="7" t="inlineStr">
        <is>
          <t>File Info</t>
        </is>
      </c>
      <c r="B15" s="18" t="inlineStr">
        <is>
          <t>Country</t>
        </is>
      </c>
      <c r="C15" s="16" t="inlineStr"/>
      <c r="D15" s="16" t="inlineStr"/>
      <c r="E15" s="15" t="inlineStr">
        <is>
          <t>Y</t>
        </is>
      </c>
      <c r="F15" s="18" t="inlineStr">
        <is>
          <t>Dropdown</t>
        </is>
      </c>
      <c r="G15" s="17" t="inlineStr">
        <is>
          <t>Required</t>
        </is>
      </c>
      <c r="H15" s="8" t="inlineStr"/>
      <c r="I15" s="18" t="inlineStr">
        <is>
          <t>United States | Canada</t>
        </is>
      </c>
    </row>
    <row r="16" ht="14" customHeight="1" s="4">
      <c r="A16" s="10" t="inlineStr">
        <is>
          <t>File Info</t>
        </is>
      </c>
      <c r="B16" s="18" t="inlineStr">
        <is>
          <t>State Abbreviation</t>
        </is>
      </c>
      <c r="C16" s="16" t="inlineStr"/>
      <c r="D16" s="16" t="inlineStr"/>
      <c r="E16" s="15" t="inlineStr">
        <is>
          <t>Y</t>
        </is>
      </c>
      <c r="F16" s="18" t="inlineStr">
        <is>
          <t>Dropdown</t>
        </is>
      </c>
      <c r="G16" s="17" t="inlineStr">
        <is>
          <t>Required</t>
        </is>
      </c>
      <c r="H16" s="11" t="inlineStr">
        <is>
          <t>N1DBProvince</t>
        </is>
      </c>
      <c r="I16" s="18" t="inlineStr">
        <is>
          <t>2-letter state/province code — auto-sets rental rate method via tblRentalRateMethod</t>
        </is>
      </c>
    </row>
    <row r="17" ht="14" customHeight="1" s="4">
      <c r="A17" s="7" t="inlineStr">
        <is>
          <t>File Info</t>
        </is>
      </c>
      <c r="B17" s="20" t="inlineStr">
        <is>
          <t>State Name</t>
        </is>
      </c>
      <c r="C17" s="16" t="inlineStr"/>
      <c r="D17" s="15" t="inlineStr">
        <is>
          <t>Y</t>
        </is>
      </c>
      <c r="E17" s="16" t="inlineStr"/>
      <c r="F17" s="20" t="inlineStr">
        <is>
          <t>Text</t>
        </is>
      </c>
      <c r="G17" s="19" t="inlineStr">
        <is>
          <t>Calculated</t>
        </is>
      </c>
      <c r="H17" s="8" t="inlineStr"/>
      <c r="I17" s="20" t="inlineStr">
        <is>
          <t>Auto-populated from State Abbreviation via lookup</t>
        </is>
      </c>
    </row>
    <row r="18" ht="14" customHeight="1" s="4">
      <c r="A18" s="10" t="inlineStr">
        <is>
          <t>File Info</t>
        </is>
      </c>
      <c r="B18" s="14" t="inlineStr">
        <is>
          <t>Zip/Postal Code</t>
        </is>
      </c>
      <c r="C18" s="15" t="inlineStr">
        <is>
          <t>Y</t>
        </is>
      </c>
      <c r="D18" s="16" t="inlineStr"/>
      <c r="E18" s="16" t="inlineStr"/>
      <c r="F18" s="14" t="inlineStr">
        <is>
          <t>Text</t>
        </is>
      </c>
      <c r="G18" s="17" t="inlineStr">
        <is>
          <t>Required</t>
        </is>
      </c>
      <c r="H18" s="11" t="inlineStr">
        <is>
          <t>N1DBZip</t>
        </is>
      </c>
      <c r="I18" s="14" t="inlineStr">
        <is>
          <t>ZIP code</t>
        </is>
      </c>
    </row>
    <row r="19" ht="14" customHeight="1" s="4">
      <c r="A19" s="7" t="inlineStr">
        <is>
          <t>File Info</t>
        </is>
      </c>
      <c r="B19" s="14" t="inlineStr">
        <is>
          <t>Census Tract</t>
        </is>
      </c>
      <c r="C19" s="15" t="inlineStr">
        <is>
          <t>Y</t>
        </is>
      </c>
      <c r="D19" s="16" t="inlineStr"/>
      <c r="E19" s="16" t="inlineStr"/>
      <c r="F19" s="14" t="inlineStr">
        <is>
          <t>Text</t>
        </is>
      </c>
      <c r="G19" s="19" t="inlineStr">
        <is>
          <t>Optional</t>
        </is>
      </c>
      <c r="H19" s="8" t="inlineStr"/>
      <c r="I19" s="14" t="inlineStr">
        <is>
          <t>Census tract number</t>
        </is>
      </c>
    </row>
    <row r="20" ht="14" customHeight="1" s="4">
      <c r="A20" s="10" t="inlineStr">
        <is>
          <t>File Info</t>
        </is>
      </c>
      <c r="B20" s="14" t="inlineStr">
        <is>
          <t>Census Block</t>
        </is>
      </c>
      <c r="C20" s="15" t="inlineStr">
        <is>
          <t>Y</t>
        </is>
      </c>
      <c r="D20" s="16" t="inlineStr"/>
      <c r="E20" s="16" t="inlineStr"/>
      <c r="F20" s="14" t="inlineStr">
        <is>
          <t>Text</t>
        </is>
      </c>
      <c r="G20" s="19" t="inlineStr">
        <is>
          <t>Optional</t>
        </is>
      </c>
      <c r="H20" s="8" t="inlineStr"/>
      <c r="I20" s="14" t="inlineStr">
        <is>
          <t>Census block number</t>
        </is>
      </c>
    </row>
    <row r="21" ht="14" customHeight="1" s="4">
      <c r="A21" s="7" t="inlineStr">
        <is>
          <t>File Info</t>
        </is>
      </c>
      <c r="B21" s="20" t="inlineStr">
        <is>
          <t>Full Address (calculated)</t>
        </is>
      </c>
      <c r="C21" s="16" t="inlineStr"/>
      <c r="D21" s="15" t="inlineStr">
        <is>
          <t>Y</t>
        </is>
      </c>
      <c r="E21" s="16" t="inlineStr"/>
      <c r="F21" s="20" t="inlineStr">
        <is>
          <t>Text</t>
        </is>
      </c>
      <c r="G21" s="19" t="inlineStr">
        <is>
          <t>Calculated</t>
        </is>
      </c>
      <c r="H21" s="11" t="inlineStr">
        <is>
          <t>N1Address</t>
        </is>
      </c>
      <c r="I21" s="20" t="inlineStr">
        <is>
          <t>TEXTJOIN of address fields → used in all narratives</t>
        </is>
      </c>
    </row>
    <row r="22" ht="14" customHeight="1" s="4">
      <c r="A22" s="10" t="inlineStr">
        <is>
          <t>File Info</t>
        </is>
      </c>
      <c r="B22" s="18" t="inlineStr">
        <is>
          <t>Is there Multi-Family Affordable?</t>
        </is>
      </c>
      <c r="C22" s="16" t="inlineStr"/>
      <c r="D22" s="16" t="inlineStr"/>
      <c r="E22" s="15" t="inlineStr">
        <is>
          <t>Y</t>
        </is>
      </c>
      <c r="F22" s="18" t="inlineStr">
        <is>
          <t>Dropdown</t>
        </is>
      </c>
      <c r="G22" s="9" t="inlineStr">
        <is>
          <t>Conditional</t>
        </is>
      </c>
      <c r="H22" s="8" t="inlineStr"/>
      <c r="I22" s="18" t="inlineStr">
        <is>
          <t>Required if MF. Yes | No — activates affordable sections</t>
        </is>
      </c>
    </row>
    <row r="23" ht="14" customHeight="1" s="4">
      <c r="A23" s="7" t="inlineStr">
        <is>
          <t>File Info</t>
        </is>
      </c>
      <c r="B23" s="18" t="inlineStr">
        <is>
          <t>Is there Multi-Family Renovation?</t>
        </is>
      </c>
      <c r="C23" s="16" t="inlineStr"/>
      <c r="D23" s="16" t="inlineStr"/>
      <c r="E23" s="15" t="inlineStr">
        <is>
          <t>Y</t>
        </is>
      </c>
      <c r="F23" s="18" t="inlineStr">
        <is>
          <t>Dropdown</t>
        </is>
      </c>
      <c r="G23" s="9" t="inlineStr">
        <is>
          <t>Conditional</t>
        </is>
      </c>
      <c r="H23" s="8" t="inlineStr"/>
      <c r="I23" s="18" t="inlineStr">
        <is>
          <t>Yes | No — activates renovation columns</t>
        </is>
      </c>
    </row>
    <row r="24" ht="14" customHeight="1" s="4">
      <c r="A24" s="10" t="inlineStr">
        <is>
          <t>File Info</t>
        </is>
      </c>
      <c r="B24" s="18" t="inlineStr">
        <is>
          <t>Is this a Market Study?</t>
        </is>
      </c>
      <c r="C24" s="16" t="inlineStr"/>
      <c r="D24" s="16" t="inlineStr"/>
      <c r="E24" s="15" t="inlineStr">
        <is>
          <t>Y</t>
        </is>
      </c>
      <c r="F24" s="18" t="inlineStr">
        <is>
          <t>Dropdown</t>
        </is>
      </c>
      <c r="G24" s="17" t="inlineStr">
        <is>
          <t>Required</t>
        </is>
      </c>
      <c r="H24" s="8" t="inlineStr"/>
      <c r="I24" s="18" t="inlineStr">
        <is>
          <t>Yes | No — switches workbook mode</t>
        </is>
      </c>
    </row>
    <row r="25" ht="14" customHeight="1" s="4">
      <c r="A25" s="7" t="inlineStr">
        <is>
          <t>File Info</t>
        </is>
      </c>
      <c r="B25" s="14" t="inlineStr">
        <is>
          <t>Market Analysis Address Overwrite</t>
        </is>
      </c>
      <c r="C25" s="15" t="inlineStr">
        <is>
          <t>Y</t>
        </is>
      </c>
      <c r="D25" s="16" t="inlineStr"/>
      <c r="E25" s="16" t="inlineStr"/>
      <c r="F25" s="14" t="inlineStr">
        <is>
          <t>Text</t>
        </is>
      </c>
      <c r="G25" s="19" t="inlineStr">
        <is>
          <t>Optional</t>
        </is>
      </c>
      <c r="H25" s="8" t="inlineStr"/>
      <c r="I25" s="14" t="inlineStr">
        <is>
          <t>Override for market analysis address if different from subject</t>
        </is>
      </c>
    </row>
    <row r="26" ht="14" customHeight="1" s="4">
      <c r="A26" s="10" t="inlineStr">
        <is>
          <t>File Info</t>
        </is>
      </c>
      <c r="B26" s="14" t="inlineStr">
        <is>
          <t>Market Analysis CBSA Overwrite</t>
        </is>
      </c>
      <c r="C26" s="15" t="inlineStr">
        <is>
          <t>Y</t>
        </is>
      </c>
      <c r="D26" s="16" t="inlineStr"/>
      <c r="E26" s="16" t="inlineStr"/>
      <c r="F26" s="14" t="inlineStr">
        <is>
          <t>Text</t>
        </is>
      </c>
      <c r="G26" s="19" t="inlineStr">
        <is>
          <t>Optional</t>
        </is>
      </c>
      <c r="H26" s="8" t="inlineStr"/>
      <c r="I26" s="14" t="inlineStr">
        <is>
          <t>Override CBSA/MSA for market data API pull</t>
        </is>
      </c>
    </row>
    <row r="27" ht="14" customHeight="1" s="4">
      <c r="A27" s="7" t="inlineStr">
        <is>
          <t>File Info</t>
        </is>
      </c>
      <c r="B27" s="18" t="inlineStr">
        <is>
          <t>Lodging &amp; Hospitality Chain Scale</t>
        </is>
      </c>
      <c r="C27" s="16" t="inlineStr"/>
      <c r="D27" s="16" t="inlineStr"/>
      <c r="E27" s="15" t="inlineStr">
        <is>
          <t>Y</t>
        </is>
      </c>
      <c r="F27" s="18" t="inlineStr">
        <is>
          <t>Dropdown</t>
        </is>
      </c>
      <c r="G27" s="9" t="inlineStr">
        <is>
          <t>Conditional</t>
        </is>
      </c>
      <c r="H27" s="8" t="inlineStr"/>
      <c r="I27" s="18" t="inlineStr">
        <is>
          <t>Required if L&amp;H. Luxury | Upper Upscale | Upscale | Upper Midscale | Midscale | Economy</t>
        </is>
      </c>
    </row>
    <row r="28" ht="14" customHeight="1" s="4">
      <c r="A28" s="10" t="inlineStr">
        <is>
          <t>File Info</t>
        </is>
      </c>
      <c r="B28" s="14" t="inlineStr">
        <is>
          <t>Invoice Number</t>
        </is>
      </c>
      <c r="C28" s="15" t="inlineStr">
        <is>
          <t>Y</t>
        </is>
      </c>
      <c r="D28" s="16" t="inlineStr"/>
      <c r="E28" s="16" t="inlineStr"/>
      <c r="F28" s="14" t="inlineStr">
        <is>
          <t>Text</t>
        </is>
      </c>
      <c r="G28" s="19" t="inlineStr">
        <is>
          <t>Optional</t>
        </is>
      </c>
      <c r="H28" s="8" t="inlineStr"/>
      <c r="I28" s="14" t="inlineStr">
        <is>
          <t>Billing invoice number</t>
        </is>
      </c>
    </row>
    <row r="29" ht="14" customHeight="1" s="4">
      <c r="A29" s="7" t="inlineStr">
        <is>
          <t>File Info</t>
        </is>
      </c>
      <c r="B29" s="14" t="inlineStr">
        <is>
          <t>Fee</t>
        </is>
      </c>
      <c r="C29" s="15" t="inlineStr">
        <is>
          <t>Y</t>
        </is>
      </c>
      <c r="D29" s="16" t="inlineStr"/>
      <c r="E29" s="16" t="inlineStr"/>
      <c r="F29" s="14" t="inlineStr">
        <is>
          <t>Currency</t>
        </is>
      </c>
      <c r="G29" s="19" t="inlineStr">
        <is>
          <t>Optional</t>
        </is>
      </c>
      <c r="H29" s="8" t="inlineStr"/>
      <c r="I29" s="14" t="inlineStr">
        <is>
          <t>Primary appraisal fee</t>
        </is>
      </c>
    </row>
    <row r="30" ht="14" customHeight="1" s="4">
      <c r="A30" s="10" t="inlineStr">
        <is>
          <t>File Info</t>
        </is>
      </c>
      <c r="B30" s="20" t="inlineStr">
        <is>
          <t>Contract Total</t>
        </is>
      </c>
      <c r="C30" s="16" t="inlineStr"/>
      <c r="D30" s="15" t="inlineStr">
        <is>
          <t>Y</t>
        </is>
      </c>
      <c r="E30" s="16" t="inlineStr"/>
      <c r="F30" s="20" t="inlineStr">
        <is>
          <t>Currency</t>
        </is>
      </c>
      <c r="G30" s="19" t="inlineStr">
        <is>
          <t>Calculated</t>
        </is>
      </c>
      <c r="H30" s="8" t="inlineStr"/>
      <c r="I30" s="20" t="inlineStr">
        <is>
          <t>SUM of all fee fields</t>
        </is>
      </c>
    </row>
    <row r="31" ht="14" customHeight="1" s="4">
      <c r="A31" s="7" t="inlineStr">
        <is>
          <t>File Info</t>
        </is>
      </c>
      <c r="B31" s="14" t="inlineStr">
        <is>
          <t>Invoice Date</t>
        </is>
      </c>
      <c r="C31" s="15" t="inlineStr">
        <is>
          <t>Y</t>
        </is>
      </c>
      <c r="D31" s="16" t="inlineStr"/>
      <c r="E31" s="16" t="inlineStr"/>
      <c r="F31" s="14" t="inlineStr">
        <is>
          <t>Date</t>
        </is>
      </c>
      <c r="G31" s="19" t="inlineStr">
        <is>
          <t>Optional</t>
        </is>
      </c>
      <c r="H31" s="8" t="inlineStr"/>
      <c r="I31" s="14" t="inlineStr">
        <is>
          <t>Invoice issue date</t>
        </is>
      </c>
    </row>
    <row r="32" ht="14" customHeight="1" s="4">
      <c r="A32" s="10" t="inlineStr">
        <is>
          <t>Settings</t>
        </is>
      </c>
      <c r="B32" s="18" t="inlineStr">
        <is>
          <t>Property Type (Master)</t>
        </is>
      </c>
      <c r="C32" s="16" t="inlineStr"/>
      <c r="D32" s="16" t="inlineStr"/>
      <c r="E32" s="15" t="inlineStr">
        <is>
          <t>Y</t>
        </is>
      </c>
      <c r="F32" s="18" t="inlineStr">
        <is>
          <t>Dropdown</t>
        </is>
      </c>
      <c r="G32" s="17" t="inlineStr">
        <is>
          <t>Required</t>
        </is>
      </c>
      <c r="H32" s="11" t="inlineStr">
        <is>
          <t>pvaPropertyTypeKey</t>
        </is>
      </c>
      <c r="I32" s="18" t="inlineStr">
        <is>
          <t>CRITICAL: Drives Show/Hide on ALL 27 other tabs. Must match File Info Property Major Type.</t>
        </is>
      </c>
    </row>
    <row r="33" ht="14" customHeight="1" s="4">
      <c r="A33" s="7" t="inlineStr">
        <is>
          <t>Settings</t>
        </is>
      </c>
      <c r="B33" s="18" t="inlineStr">
        <is>
          <t>Agency</t>
        </is>
      </c>
      <c r="C33" s="16" t="inlineStr"/>
      <c r="D33" s="16" t="inlineStr"/>
      <c r="E33" s="15" t="inlineStr">
        <is>
          <t>Y</t>
        </is>
      </c>
      <c r="F33" s="18" t="inlineStr">
        <is>
          <t>Dropdown</t>
        </is>
      </c>
      <c r="G33" s="17" t="inlineStr">
        <is>
          <t>Required</t>
        </is>
      </c>
      <c r="H33" s="8" t="inlineStr"/>
      <c r="I33" s="18" t="inlineStr">
        <is>
          <t>None | Freddie Mac | Fannie Mae | HUD | FHA | CMBS</t>
        </is>
      </c>
    </row>
    <row r="34" ht="14" customHeight="1" s="4">
      <c r="A34" s="10" t="inlineStr">
        <is>
          <t>Settings</t>
        </is>
      </c>
      <c r="B34" s="18" t="inlineStr">
        <is>
          <t>Cost Approach</t>
        </is>
      </c>
      <c r="C34" s="16" t="inlineStr"/>
      <c r="D34" s="16" t="inlineStr"/>
      <c r="E34" s="15" t="inlineStr">
        <is>
          <t>Y</t>
        </is>
      </c>
      <c r="F34" s="18" t="inlineStr">
        <is>
          <t>Dropdown</t>
        </is>
      </c>
      <c r="G34" s="17" t="inlineStr">
        <is>
          <t>Required</t>
        </is>
      </c>
      <c r="H34" s="11" t="inlineStr">
        <is>
          <t>pvaCostApproach_CostorInsurable</t>
        </is>
      </c>
      <c r="I34" s="18" t="inlineStr">
        <is>
          <t>Yes | No</t>
        </is>
      </c>
    </row>
    <row r="35" ht="14" customHeight="1" s="4">
      <c r="A35" s="7" t="inlineStr">
        <is>
          <t>Settings</t>
        </is>
      </c>
      <c r="B35" s="18" t="inlineStr">
        <is>
          <t>Sales Comparison Approach</t>
        </is>
      </c>
      <c r="C35" s="16" t="inlineStr"/>
      <c r="D35" s="16" t="inlineStr"/>
      <c r="E35" s="15" t="inlineStr">
        <is>
          <t>Y</t>
        </is>
      </c>
      <c r="F35" s="18" t="inlineStr">
        <is>
          <t>Dropdown</t>
        </is>
      </c>
      <c r="G35" s="17" t="inlineStr">
        <is>
          <t>Required</t>
        </is>
      </c>
      <c r="H35" s="8" t="inlineStr"/>
      <c r="I35" s="18" t="inlineStr">
        <is>
          <t>Yes | No</t>
        </is>
      </c>
    </row>
    <row r="36" ht="14" customHeight="1" s="4">
      <c r="A36" s="10" t="inlineStr">
        <is>
          <t>Settings</t>
        </is>
      </c>
      <c r="B36" s="18" t="inlineStr">
        <is>
          <t>Income Capitalization Approach</t>
        </is>
      </c>
      <c r="C36" s="16" t="inlineStr"/>
      <c r="D36" s="16" t="inlineStr"/>
      <c r="E36" s="15" t="inlineStr">
        <is>
          <t>Y</t>
        </is>
      </c>
      <c r="F36" s="18" t="inlineStr">
        <is>
          <t>Dropdown</t>
        </is>
      </c>
      <c r="G36" s="17" t="inlineStr">
        <is>
          <t>Required</t>
        </is>
      </c>
      <c r="H36" s="11" t="inlineStr">
        <is>
          <t>pvaIncomeApproach_MethodsUsed</t>
        </is>
      </c>
      <c r="I36" s="18" t="inlineStr">
        <is>
          <t>Yes | No</t>
        </is>
      </c>
    </row>
    <row r="37" ht="14" customHeight="1" s="4">
      <c r="A37" s="7" t="inlineStr">
        <is>
          <t>Settings</t>
        </is>
      </c>
      <c r="B37" s="18" t="inlineStr">
        <is>
          <t>Do you need Land Comps?</t>
        </is>
      </c>
      <c r="C37" s="16" t="inlineStr"/>
      <c r="D37" s="16" t="inlineStr"/>
      <c r="E37" s="15" t="inlineStr">
        <is>
          <t>Y</t>
        </is>
      </c>
      <c r="F37" s="18" t="inlineStr">
        <is>
          <t>Dropdown</t>
        </is>
      </c>
      <c r="G37" s="9" t="inlineStr">
        <is>
          <t>Conditional</t>
        </is>
      </c>
      <c r="H37" s="8" t="inlineStr"/>
      <c r="I37" s="18" t="inlineStr">
        <is>
          <t>Required if Cost Approach = Yes. Yes | No</t>
        </is>
      </c>
    </row>
    <row r="38" ht="14" customHeight="1" s="4">
      <c r="A38" s="10" t="inlineStr">
        <is>
          <t>Settings</t>
        </is>
      </c>
      <c r="B38" s="18" t="inlineStr">
        <is>
          <t>Is this a Proposed Property?</t>
        </is>
      </c>
      <c r="C38" s="16" t="inlineStr"/>
      <c r="D38" s="16" t="inlineStr"/>
      <c r="E38" s="15" t="inlineStr">
        <is>
          <t>Y</t>
        </is>
      </c>
      <c r="F38" s="18" t="inlineStr">
        <is>
          <t>Dropdown</t>
        </is>
      </c>
      <c r="G38" s="17" t="inlineStr">
        <is>
          <t>Required</t>
        </is>
      </c>
      <c r="H38" s="8" t="inlineStr"/>
      <c r="I38" s="18" t="inlineStr">
        <is>
          <t>Yes | No — activates MF Lease Up and additional premises</t>
        </is>
      </c>
    </row>
    <row r="39" ht="14" customHeight="1" s="4">
      <c r="A39" s="7" t="inlineStr">
        <is>
          <t>Settings</t>
        </is>
      </c>
      <c r="B39" s="18" t="inlineStr">
        <is>
          <t>Subject Unit of Comparison</t>
        </is>
      </c>
      <c r="C39" s="16" t="inlineStr"/>
      <c r="D39" s="16" t="inlineStr"/>
      <c r="E39" s="15" t="inlineStr">
        <is>
          <t>Y</t>
        </is>
      </c>
      <c r="F39" s="18" t="inlineStr">
        <is>
          <t>Dropdown</t>
        </is>
      </c>
      <c r="G39" s="17" t="inlineStr">
        <is>
          <t>Required</t>
        </is>
      </c>
      <c r="H39" s="11" t="inlineStr">
        <is>
          <t>pvaUOC_Settings</t>
        </is>
      </c>
      <c r="I39" s="18" t="inlineStr">
        <is>
          <t>Unit | SF | Room | Bed | Key</t>
        </is>
      </c>
    </row>
    <row r="40" ht="14" customHeight="1" s="4">
      <c r="A40" s="10" t="inlineStr">
        <is>
          <t>Settings</t>
        </is>
      </c>
      <c r="B40" s="14" t="inlineStr">
        <is>
          <t>Rounding Multiple</t>
        </is>
      </c>
      <c r="C40" s="15" t="inlineStr">
        <is>
          <t>Y</t>
        </is>
      </c>
      <c r="D40" s="16" t="inlineStr"/>
      <c r="E40" s="16" t="inlineStr"/>
      <c r="F40" s="14" t="inlineStr">
        <is>
          <t>Currency</t>
        </is>
      </c>
      <c r="G40" s="17" t="inlineStr">
        <is>
          <t>Required</t>
        </is>
      </c>
      <c r="H40" s="8" t="inlineStr"/>
      <c r="I40" s="14" t="inlineStr">
        <is>
          <t>Dollar increment for value rounding (e.g. 100,000)</t>
        </is>
      </c>
    </row>
    <row r="41" ht="14" customHeight="1" s="4">
      <c r="A41" s="7" t="inlineStr">
        <is>
          <t>Settings</t>
        </is>
      </c>
      <c r="B41" s="14" t="inlineStr">
        <is>
          <t>How many Lease Grids?</t>
        </is>
      </c>
      <c r="C41" s="15" t="inlineStr">
        <is>
          <t>Y</t>
        </is>
      </c>
      <c r="D41" s="16" t="inlineStr"/>
      <c r="E41" s="16" t="inlineStr"/>
      <c r="F41" s="14" t="inlineStr">
        <is>
          <t>Integer</t>
        </is>
      </c>
      <c r="G41" s="9" t="inlineStr">
        <is>
          <t>Conditional</t>
        </is>
      </c>
      <c r="H41" s="11" t="inlineStr">
        <is>
          <t>pvaIncomeApproach_QtyLeaseGrids</t>
        </is>
      </c>
      <c r="I41" s="14" t="inlineStr">
        <is>
          <t>1–3. Required if Income Approach = Yes</t>
        </is>
      </c>
    </row>
    <row r="42" ht="14" customHeight="1" s="4">
      <c r="A42" s="10" t="inlineStr">
        <is>
          <t>Settings</t>
        </is>
      </c>
      <c r="B42" s="18" t="inlineStr">
        <is>
          <t>Rental Rate Method</t>
        </is>
      </c>
      <c r="C42" s="16" t="inlineStr"/>
      <c r="D42" s="16" t="inlineStr"/>
      <c r="E42" s="15" t="inlineStr">
        <is>
          <t>Y</t>
        </is>
      </c>
      <c r="F42" s="18" t="inlineStr">
        <is>
          <t>Dropdown</t>
        </is>
      </c>
      <c r="G42" s="9" t="inlineStr">
        <is>
          <t>Conditional</t>
        </is>
      </c>
      <c r="H42" s="11" t="inlineStr">
        <is>
          <t>pvaIncomeApproach_RentalRateMethod</t>
        </is>
      </c>
      <c r="I42" s="18" t="inlineStr">
        <is>
          <t>$/SF/Mo | $/SF/Yr | $/Unit/Mo | $/Unit/Yr | $/Room/Mo — auto-set from state</t>
        </is>
      </c>
    </row>
    <row r="43" ht="14" customHeight="1" s="4">
      <c r="A43" s="7" t="inlineStr">
        <is>
          <t>Settings</t>
        </is>
      </c>
      <c r="B43" s="18" t="inlineStr">
        <is>
          <t>Is the subject stabilized?</t>
        </is>
      </c>
      <c r="C43" s="16" t="inlineStr"/>
      <c r="D43" s="16" t="inlineStr"/>
      <c r="E43" s="15" t="inlineStr">
        <is>
          <t>Y</t>
        </is>
      </c>
      <c r="F43" s="18" t="inlineStr">
        <is>
          <t>Dropdown</t>
        </is>
      </c>
      <c r="G43" s="9" t="inlineStr">
        <is>
          <t>Conditional</t>
        </is>
      </c>
      <c r="H43" s="11" t="inlineStr">
        <is>
          <t>pvaIncomeApproach_IsStabilized</t>
        </is>
      </c>
      <c r="I43" s="18" t="inlineStr">
        <is>
          <t>Yes | No — activates MF Lease Up if No</t>
        </is>
      </c>
    </row>
    <row r="44" ht="14" customHeight="1" s="4">
      <c r="A44" s="10" t="inlineStr">
        <is>
          <t>Settings</t>
        </is>
      </c>
      <c r="B44" s="18" t="inlineStr">
        <is>
          <t>DCF Method</t>
        </is>
      </c>
      <c r="C44" s="16" t="inlineStr"/>
      <c r="D44" s="16" t="inlineStr"/>
      <c r="E44" s="15" t="inlineStr">
        <is>
          <t>Y</t>
        </is>
      </c>
      <c r="F44" s="18" t="inlineStr">
        <is>
          <t>Dropdown</t>
        </is>
      </c>
      <c r="G44" s="9" t="inlineStr">
        <is>
          <t>Conditional</t>
        </is>
      </c>
      <c r="H44" s="11" t="inlineStr">
        <is>
          <t>pvaIncomeApproach_MethodsUsed</t>
        </is>
      </c>
      <c r="I44" s="18" t="inlineStr">
        <is>
          <t>Direct Cap Only | DCF Only | Both</t>
        </is>
      </c>
    </row>
    <row r="45" ht="14" customHeight="1" s="4">
      <c r="A45" s="7" t="inlineStr">
        <is>
          <t>Settings</t>
        </is>
      </c>
      <c r="B45" s="14" t="inlineStr">
        <is>
          <t>How many projections?</t>
        </is>
      </c>
      <c r="C45" s="15" t="inlineStr">
        <is>
          <t>Y</t>
        </is>
      </c>
      <c r="D45" s="16" t="inlineStr"/>
      <c r="E45" s="16" t="inlineStr"/>
      <c r="F45" s="14" t="inlineStr">
        <is>
          <t>Integer</t>
        </is>
      </c>
      <c r="G45" s="19" t="inlineStr">
        <is>
          <t>Optional</t>
        </is>
      </c>
      <c r="H45" s="11" t="inlineStr">
        <is>
          <t>pvaIncomeApproach_QtyProjections</t>
        </is>
      </c>
      <c r="I45" s="14" t="inlineStr">
        <is>
          <t>1–6 projection scenarios</t>
        </is>
      </c>
    </row>
    <row r="46" ht="14" customHeight="1" s="4">
      <c r="A46" s="10" t="inlineStr">
        <is>
          <t>Dates, Premises</t>
        </is>
      </c>
      <c r="B46" s="14" t="inlineStr">
        <is>
          <t>Report Date</t>
        </is>
      </c>
      <c r="C46" s="15" t="inlineStr">
        <is>
          <t>Y</t>
        </is>
      </c>
      <c r="D46" s="16" t="inlineStr"/>
      <c r="E46" s="16" t="inlineStr"/>
      <c r="F46" s="14" t="inlineStr">
        <is>
          <t>Date</t>
        </is>
      </c>
      <c r="G46" s="17" t="inlineStr">
        <is>
          <t>Required</t>
        </is>
      </c>
      <c r="H46" s="8" t="inlineStr"/>
      <c r="I46" s="14" t="inlineStr">
        <is>
          <t>Date appraisal is published</t>
        </is>
      </c>
    </row>
    <row r="47" ht="14" customHeight="1" s="4">
      <c r="A47" s="7" t="inlineStr">
        <is>
          <t>Dates, Premises</t>
        </is>
      </c>
      <c r="B47" s="14" t="inlineStr">
        <is>
          <t>Inspection Date</t>
        </is>
      </c>
      <c r="C47" s="15" t="inlineStr">
        <is>
          <t>Y</t>
        </is>
      </c>
      <c r="D47" s="16" t="inlineStr"/>
      <c r="E47" s="16" t="inlineStr"/>
      <c r="F47" s="14" t="inlineStr">
        <is>
          <t>Date</t>
        </is>
      </c>
      <c r="G47" s="17" t="inlineStr">
        <is>
          <t>Required</t>
        </is>
      </c>
      <c r="H47" s="8" t="inlineStr"/>
      <c r="I47" s="14" t="inlineStr">
        <is>
          <t>Date of physical inspection</t>
        </is>
      </c>
    </row>
    <row r="48" ht="14" customHeight="1" s="4">
      <c r="A48" s="10" t="inlineStr">
        <is>
          <t>Dates, Premises</t>
        </is>
      </c>
      <c r="B48" s="14" t="inlineStr">
        <is>
          <t>Effective Date (per premise)</t>
        </is>
      </c>
      <c r="C48" s="15" t="inlineStr">
        <is>
          <t>Y</t>
        </is>
      </c>
      <c r="D48" s="16" t="inlineStr"/>
      <c r="E48" s="16" t="inlineStr"/>
      <c r="F48" s="14" t="inlineStr">
        <is>
          <t>Date</t>
        </is>
      </c>
      <c r="G48" s="17" t="inlineStr">
        <is>
          <t>Required</t>
        </is>
      </c>
      <c r="H48" s="8" t="inlineStr"/>
      <c r="I48" s="14" t="inlineStr">
        <is>
          <t>One per premise: As Is, Upon Completion, As Stabilized</t>
        </is>
      </c>
    </row>
    <row r="49" ht="14" customHeight="1" s="4">
      <c r="A49" s="7" t="inlineStr">
        <is>
          <t>Dates, Premises</t>
        </is>
      </c>
      <c r="B49" s="18" t="inlineStr">
        <is>
          <t>Value Type</t>
        </is>
      </c>
      <c r="C49" s="16" t="inlineStr"/>
      <c r="D49" s="16" t="inlineStr"/>
      <c r="E49" s="15" t="inlineStr">
        <is>
          <t>Y</t>
        </is>
      </c>
      <c r="F49" s="18" t="inlineStr">
        <is>
          <t>Dropdown</t>
        </is>
      </c>
      <c r="G49" s="17" t="inlineStr">
        <is>
          <t>Required</t>
        </is>
      </c>
      <c r="H49" s="8" t="inlineStr"/>
      <c r="I49" s="18" t="inlineStr">
        <is>
          <t>Market Value As Is | Market Value Upon Completion | Market Value As Stabilized | Prospective Market Value | Investment Value | Liquidation Value</t>
        </is>
      </c>
    </row>
    <row r="50" ht="14" customHeight="1" s="4">
      <c r="A50" s="10" t="inlineStr">
        <is>
          <t>Dates, Premises</t>
        </is>
      </c>
      <c r="B50" s="18" t="inlineStr">
        <is>
          <t>Value Perspective</t>
        </is>
      </c>
      <c r="C50" s="16" t="inlineStr"/>
      <c r="D50" s="16" t="inlineStr"/>
      <c r="E50" s="15" t="inlineStr">
        <is>
          <t>Y</t>
        </is>
      </c>
      <c r="F50" s="18" t="inlineStr">
        <is>
          <t>Dropdown</t>
        </is>
      </c>
      <c r="G50" s="17" t="inlineStr">
        <is>
          <t>Required</t>
        </is>
      </c>
      <c r="H50" s="8" t="inlineStr"/>
      <c r="I50" s="18" t="inlineStr">
        <is>
          <t>Retrospective | Current (as of inspection) | Prospective</t>
        </is>
      </c>
    </row>
    <row r="51" ht="14" customHeight="1" s="4">
      <c r="A51" s="7" t="inlineStr">
        <is>
          <t>Dates, Premises</t>
        </is>
      </c>
      <c r="B51" s="18" t="inlineStr">
        <is>
          <t>Interest Appraised</t>
        </is>
      </c>
      <c r="C51" s="16" t="inlineStr"/>
      <c r="D51" s="16" t="inlineStr"/>
      <c r="E51" s="15" t="inlineStr">
        <is>
          <t>Y</t>
        </is>
      </c>
      <c r="F51" s="18" t="inlineStr">
        <is>
          <t>Dropdown</t>
        </is>
      </c>
      <c r="G51" s="17" t="inlineStr">
        <is>
          <t>Required</t>
        </is>
      </c>
      <c r="H51" s="8" t="inlineStr"/>
      <c r="I51" s="18" t="inlineStr">
        <is>
          <t>Fee Simple | Leased Fee | Leasehold | Partial Interest</t>
        </is>
      </c>
    </row>
    <row r="52" ht="14" customHeight="1" s="4">
      <c r="A52" s="10" t="inlineStr">
        <is>
          <t>Dates, Premises</t>
        </is>
      </c>
      <c r="B52" s="14" t="inlineStr">
        <is>
          <t>Marketing Time</t>
        </is>
      </c>
      <c r="C52" s="15" t="inlineStr">
        <is>
          <t>Y</t>
        </is>
      </c>
      <c r="D52" s="16" t="inlineStr"/>
      <c r="E52" s="16" t="inlineStr"/>
      <c r="F52" s="14" t="inlineStr">
        <is>
          <t>Text</t>
        </is>
      </c>
      <c r="G52" s="17" t="inlineStr">
        <is>
          <t>Required</t>
        </is>
      </c>
      <c r="H52" s="8" t="inlineStr"/>
      <c r="I52" s="14" t="inlineStr">
        <is>
          <t>e.g. '9-12 months'</t>
        </is>
      </c>
    </row>
    <row r="53" ht="14" customHeight="1" s="4">
      <c r="A53" s="7" t="inlineStr">
        <is>
          <t>Dates, Premises</t>
        </is>
      </c>
      <c r="B53" s="14" t="inlineStr">
        <is>
          <t>Exposure Time</t>
        </is>
      </c>
      <c r="C53" s="15" t="inlineStr">
        <is>
          <t>Y</t>
        </is>
      </c>
      <c r="D53" s="16" t="inlineStr"/>
      <c r="E53" s="16" t="inlineStr"/>
      <c r="F53" s="14" t="inlineStr">
        <is>
          <t>Text</t>
        </is>
      </c>
      <c r="G53" s="17" t="inlineStr">
        <is>
          <t>Required</t>
        </is>
      </c>
      <c r="H53" s="8" t="inlineStr"/>
      <c r="I53" s="14" t="inlineStr">
        <is>
          <t>e.g. '9-12 months'</t>
        </is>
      </c>
    </row>
    <row r="54" ht="14" customHeight="1" s="4">
      <c r="A54" s="10" t="inlineStr">
        <is>
          <t>Contracts, History</t>
        </is>
      </c>
      <c r="B54" s="14" t="inlineStr">
        <is>
          <t>Most Recent Sale — Price</t>
        </is>
      </c>
      <c r="C54" s="15" t="inlineStr">
        <is>
          <t>Y</t>
        </is>
      </c>
      <c r="D54" s="16" t="inlineStr"/>
      <c r="E54" s="16" t="inlineStr"/>
      <c r="F54" s="14" t="inlineStr">
        <is>
          <t>Currency</t>
        </is>
      </c>
      <c r="G54" s="9" t="inlineStr">
        <is>
          <t>Conditional</t>
        </is>
      </c>
      <c r="H54" s="8" t="inlineStr"/>
      <c r="I54" s="14" t="inlineStr">
        <is>
          <t>Required if property has been sold</t>
        </is>
      </c>
    </row>
    <row r="55" ht="14" customHeight="1" s="4">
      <c r="A55" s="7" t="inlineStr">
        <is>
          <t>Contracts, History</t>
        </is>
      </c>
      <c r="B55" s="14" t="inlineStr">
        <is>
          <t>Most Recent Sale — Date</t>
        </is>
      </c>
      <c r="C55" s="15" t="inlineStr">
        <is>
          <t>Y</t>
        </is>
      </c>
      <c r="D55" s="16" t="inlineStr"/>
      <c r="E55" s="16" t="inlineStr"/>
      <c r="F55" s="14" t="inlineStr">
        <is>
          <t>Date</t>
        </is>
      </c>
      <c r="G55" s="9" t="inlineStr">
        <is>
          <t>Conditional</t>
        </is>
      </c>
      <c r="H55" s="8" t="inlineStr"/>
      <c r="I55" s="14" t="inlineStr"/>
    </row>
    <row r="56" ht="14" customHeight="1" s="4">
      <c r="A56" s="10" t="inlineStr">
        <is>
          <t>Contracts, History</t>
        </is>
      </c>
      <c r="B56" s="14" t="inlineStr">
        <is>
          <t>Most Recent Sale — Grantor</t>
        </is>
      </c>
      <c r="C56" s="15" t="inlineStr">
        <is>
          <t>Y</t>
        </is>
      </c>
      <c r="D56" s="16" t="inlineStr"/>
      <c r="E56" s="16" t="inlineStr"/>
      <c r="F56" s="14" t="inlineStr">
        <is>
          <t>Text</t>
        </is>
      </c>
      <c r="G56" s="9" t="inlineStr">
        <is>
          <t>Conditional</t>
        </is>
      </c>
      <c r="H56" s="8" t="inlineStr"/>
      <c r="I56" s="14" t="inlineStr">
        <is>
          <t>Seller name — e.g. MARKHAM APARTMENTS LP</t>
        </is>
      </c>
    </row>
    <row r="57" ht="14" customHeight="1" s="4">
      <c r="A57" s="7" t="inlineStr">
        <is>
          <t>Contracts, History</t>
        </is>
      </c>
      <c r="B57" s="14" t="inlineStr">
        <is>
          <t>Most Recent Sale — Grantee</t>
        </is>
      </c>
      <c r="C57" s="15" t="inlineStr">
        <is>
          <t>Y</t>
        </is>
      </c>
      <c r="D57" s="16" t="inlineStr"/>
      <c r="E57" s="16" t="inlineStr"/>
      <c r="F57" s="14" t="inlineStr">
        <is>
          <t>Text</t>
        </is>
      </c>
      <c r="G57" s="9" t="inlineStr">
        <is>
          <t>Conditional</t>
        </is>
      </c>
      <c r="H57" s="8" t="inlineStr"/>
      <c r="I57" s="14" t="inlineStr">
        <is>
          <t>Buyer name</t>
        </is>
      </c>
    </row>
    <row r="58" ht="14" customHeight="1" s="4">
      <c r="A58" s="10" t="inlineStr">
        <is>
          <t>Contracts, History</t>
        </is>
      </c>
      <c r="B58" s="18" t="inlineStr">
        <is>
          <t>Most Recent Sale — Property Rights</t>
        </is>
      </c>
      <c r="C58" s="16" t="inlineStr"/>
      <c r="D58" s="16" t="inlineStr"/>
      <c r="E58" s="15" t="inlineStr">
        <is>
          <t>Y</t>
        </is>
      </c>
      <c r="F58" s="18" t="inlineStr">
        <is>
          <t>Dropdown</t>
        </is>
      </c>
      <c r="G58" s="9" t="inlineStr">
        <is>
          <t>Conditional</t>
        </is>
      </c>
      <c r="H58" s="8" t="inlineStr"/>
      <c r="I58" s="18" t="inlineStr">
        <is>
          <t>Fee Simple | Leased Fee | Leasehold | Unknown</t>
        </is>
      </c>
    </row>
    <row r="59" ht="14" customHeight="1" s="4">
      <c r="A59" s="7" t="inlineStr">
        <is>
          <t>Contracts, History</t>
        </is>
      </c>
      <c r="B59" s="14" t="inlineStr">
        <is>
          <t>Most Recent Sale — Book/Page</t>
        </is>
      </c>
      <c r="C59" s="15" t="inlineStr">
        <is>
          <t>Y</t>
        </is>
      </c>
      <c r="D59" s="16" t="inlineStr"/>
      <c r="E59" s="16" t="inlineStr"/>
      <c r="F59" s="14" t="inlineStr">
        <is>
          <t>Text</t>
        </is>
      </c>
      <c r="G59" s="19" t="inlineStr">
        <is>
          <t>Optional</t>
        </is>
      </c>
      <c r="H59" s="8" t="inlineStr"/>
      <c r="I59" s="14" t="inlineStr">
        <is>
          <t>Recording reference</t>
        </is>
      </c>
    </row>
    <row r="60" ht="14" customHeight="1" s="4">
      <c r="A60" s="10" t="inlineStr">
        <is>
          <t>Contracts, History</t>
        </is>
      </c>
      <c r="B60" s="14" t="inlineStr">
        <is>
          <t>Current Listing Price</t>
        </is>
      </c>
      <c r="C60" s="15" t="inlineStr">
        <is>
          <t>Y</t>
        </is>
      </c>
      <c r="D60" s="16" t="inlineStr"/>
      <c r="E60" s="16" t="inlineStr"/>
      <c r="F60" s="14" t="inlineStr">
        <is>
          <t>Currency</t>
        </is>
      </c>
      <c r="G60" s="9" t="inlineStr">
        <is>
          <t>Conditional</t>
        </is>
      </c>
      <c r="H60" s="8" t="inlineStr"/>
      <c r="I60" s="14" t="inlineStr">
        <is>
          <t>If property is currently listed</t>
        </is>
      </c>
    </row>
    <row r="61" ht="14" customHeight="1" s="4">
      <c r="A61" s="7" t="inlineStr">
        <is>
          <t>Contracts, History</t>
        </is>
      </c>
      <c r="B61" s="14" t="inlineStr">
        <is>
          <t>Pending Contract Price</t>
        </is>
      </c>
      <c r="C61" s="15" t="inlineStr">
        <is>
          <t>Y</t>
        </is>
      </c>
      <c r="D61" s="16" t="inlineStr"/>
      <c r="E61" s="16" t="inlineStr"/>
      <c r="F61" s="14" t="inlineStr">
        <is>
          <t>Currency</t>
        </is>
      </c>
      <c r="G61" s="9" t="inlineStr">
        <is>
          <t>Conditional</t>
        </is>
      </c>
      <c r="H61" s="8" t="inlineStr"/>
      <c r="I61" s="14" t="inlineStr">
        <is>
          <t>If under contract</t>
        </is>
      </c>
    </row>
    <row r="62" ht="14" customHeight="1" s="4">
      <c r="A62" s="10" t="inlineStr">
        <is>
          <t>Contracts, History</t>
        </is>
      </c>
      <c r="B62" s="20" t="inlineStr">
        <is>
          <t>DB Transfer — Type/Price/Date</t>
        </is>
      </c>
      <c r="C62" s="16" t="inlineStr"/>
      <c r="D62" s="15" t="inlineStr">
        <is>
          <t>Y</t>
        </is>
      </c>
      <c r="E62" s="16" t="inlineStr"/>
      <c r="F62" s="20" t="inlineStr">
        <is>
          <t>Mixed</t>
        </is>
      </c>
      <c r="G62" s="19" t="inlineStr">
        <is>
          <t>Calculated</t>
        </is>
      </c>
      <c r="H62" s="8" t="inlineStr"/>
      <c r="I62" s="20" t="inlineStr">
        <is>
          <t>Auto-populated from DB via Subject ID</t>
        </is>
      </c>
    </row>
    <row r="63" ht="14" customHeight="1" s="4">
      <c r="A63" s="7" t="inlineStr">
        <is>
          <t>Scope</t>
        </is>
      </c>
      <c r="B63" s="18" t="inlineStr">
        <is>
          <t>Report Type</t>
        </is>
      </c>
      <c r="C63" s="16" t="inlineStr"/>
      <c r="D63" s="16" t="inlineStr"/>
      <c r="E63" s="15" t="inlineStr">
        <is>
          <t>Y</t>
        </is>
      </c>
      <c r="F63" s="18" t="inlineStr">
        <is>
          <t>Dropdown</t>
        </is>
      </c>
      <c r="G63" s="17" t="inlineStr">
        <is>
          <t>Required</t>
        </is>
      </c>
      <c r="H63" s="8" t="inlineStr"/>
      <c r="I63" s="18" t="inlineStr">
        <is>
          <t>Appraisal Report | Restricted Appraisal Report | Evaluation Appraisal Report | Short Narrative | Narrative</t>
        </is>
      </c>
    </row>
    <row r="64" ht="14" customHeight="1" s="4">
      <c r="A64" s="10" t="inlineStr">
        <is>
          <t>Scope</t>
        </is>
      </c>
      <c r="B64" s="18" t="inlineStr">
        <is>
          <t>Intended Use</t>
        </is>
      </c>
      <c r="C64" s="16" t="inlineStr"/>
      <c r="D64" s="16" t="inlineStr"/>
      <c r="E64" s="15" t="inlineStr">
        <is>
          <t>Y</t>
        </is>
      </c>
      <c r="F64" s="18" t="inlineStr">
        <is>
          <t>Dropdown</t>
        </is>
      </c>
      <c r="G64" s="17" t="inlineStr">
        <is>
          <t>Required</t>
        </is>
      </c>
      <c r="H64" s="8" t="inlineStr"/>
      <c r="I64" s="18" t="inlineStr">
        <is>
          <t>Mortgage lending | Estate planning | Litigation | Internal use | Sale/purchase | Other</t>
        </is>
      </c>
    </row>
    <row r="65" ht="14" customHeight="1" s="4">
      <c r="A65" s="7" t="inlineStr">
        <is>
          <t>Scope</t>
        </is>
      </c>
      <c r="B65" s="14" t="inlineStr">
        <is>
          <t>Intended User(s)</t>
        </is>
      </c>
      <c r="C65" s="15" t="inlineStr">
        <is>
          <t>Y</t>
        </is>
      </c>
      <c r="D65" s="16" t="inlineStr"/>
      <c r="E65" s="16" t="inlineStr"/>
      <c r="F65" s="14" t="inlineStr">
        <is>
          <t>Text</t>
        </is>
      </c>
      <c r="G65" s="17" t="inlineStr">
        <is>
          <t>Required</t>
        </is>
      </c>
      <c r="H65" s="8" t="inlineStr"/>
      <c r="I65" s="14" t="inlineStr">
        <is>
          <t>Free text — primary intended user</t>
        </is>
      </c>
    </row>
    <row r="66" ht="14" customHeight="1" s="4">
      <c r="A66" s="10" t="inlineStr">
        <is>
          <t>Scope</t>
        </is>
      </c>
      <c r="B66" s="18" t="inlineStr">
        <is>
          <t>Inspection Method</t>
        </is>
      </c>
      <c r="C66" s="16" t="inlineStr"/>
      <c r="D66" s="16" t="inlineStr"/>
      <c r="E66" s="15" t="inlineStr">
        <is>
          <t>Y</t>
        </is>
      </c>
      <c r="F66" s="18" t="inlineStr">
        <is>
          <t>Dropdown</t>
        </is>
      </c>
      <c r="G66" s="17" t="inlineStr">
        <is>
          <t>Required</t>
        </is>
      </c>
      <c r="H66" s="8" t="inlineStr"/>
      <c r="I66" s="18" t="inlineStr">
        <is>
          <t>Interior &amp; Exterior | Exterior Only | Drive-by | No Inspection</t>
        </is>
      </c>
    </row>
    <row r="67" ht="14" customHeight="1" s="4">
      <c r="A67" s="7" t="inlineStr">
        <is>
          <t>Scope</t>
        </is>
      </c>
      <c r="B67" s="18" t="inlineStr">
        <is>
          <t>Cost Approach in Scope</t>
        </is>
      </c>
      <c r="C67" s="16" t="inlineStr"/>
      <c r="D67" s="16" t="inlineStr"/>
      <c r="E67" s="15" t="inlineStr">
        <is>
          <t>Y</t>
        </is>
      </c>
      <c r="F67" s="18" t="inlineStr">
        <is>
          <t>Dropdown</t>
        </is>
      </c>
      <c r="G67" s="17" t="inlineStr">
        <is>
          <t>Required</t>
        </is>
      </c>
      <c r="H67" s="8" t="inlineStr"/>
      <c r="I67" s="18" t="inlineStr">
        <is>
          <t>Yes | No — should match Settings</t>
        </is>
      </c>
    </row>
    <row r="68" ht="14" customHeight="1" s="4">
      <c r="A68" s="10" t="inlineStr">
        <is>
          <t>Scope</t>
        </is>
      </c>
      <c r="B68" s="18" t="inlineStr">
        <is>
          <t>Sales Comparison in Scope</t>
        </is>
      </c>
      <c r="C68" s="16" t="inlineStr"/>
      <c r="D68" s="16" t="inlineStr"/>
      <c r="E68" s="15" t="inlineStr">
        <is>
          <t>Y</t>
        </is>
      </c>
      <c r="F68" s="18" t="inlineStr">
        <is>
          <t>Dropdown</t>
        </is>
      </c>
      <c r="G68" s="17" t="inlineStr">
        <is>
          <t>Required</t>
        </is>
      </c>
      <c r="H68" s="8" t="inlineStr"/>
      <c r="I68" s="18" t="inlineStr">
        <is>
          <t>Yes | No — should match Settings</t>
        </is>
      </c>
    </row>
    <row r="69" ht="14" customHeight="1" s="4">
      <c r="A69" s="7" t="inlineStr">
        <is>
          <t>Scope</t>
        </is>
      </c>
      <c r="B69" s="18" t="inlineStr">
        <is>
          <t>Income Approach in Scope</t>
        </is>
      </c>
      <c r="C69" s="16" t="inlineStr"/>
      <c r="D69" s="16" t="inlineStr"/>
      <c r="E69" s="15" t="inlineStr">
        <is>
          <t>Y</t>
        </is>
      </c>
      <c r="F69" s="18" t="inlineStr">
        <is>
          <t>Dropdown</t>
        </is>
      </c>
      <c r="G69" s="17" t="inlineStr">
        <is>
          <t>Required</t>
        </is>
      </c>
      <c r="H69" s="8" t="inlineStr"/>
      <c r="I69" s="18" t="inlineStr">
        <is>
          <t>Yes | No — should match Settings</t>
        </is>
      </c>
    </row>
    <row r="70" ht="14" customHeight="1" s="4">
      <c r="A70" s="10" t="inlineStr">
        <is>
          <t>Site</t>
        </is>
      </c>
      <c r="B70" s="18" t="inlineStr">
        <is>
          <t>No. of Parcels</t>
        </is>
      </c>
      <c r="C70" s="16" t="inlineStr"/>
      <c r="D70" s="16" t="inlineStr"/>
      <c r="E70" s="15" t="inlineStr">
        <is>
          <t>Y</t>
        </is>
      </c>
      <c r="F70" s="18" t="inlineStr">
        <is>
          <t>Dropdown</t>
        </is>
      </c>
      <c r="G70" s="17" t="inlineStr">
        <is>
          <t>Required</t>
        </is>
      </c>
      <c r="H70" s="8" t="inlineStr"/>
      <c r="I70" s="18" t="inlineStr">
        <is>
          <t>1 | 2 | 3 | 4 | 5+ — controls column count</t>
        </is>
      </c>
    </row>
    <row r="71" ht="14" customHeight="1" s="4">
      <c r="A71" s="7" t="inlineStr">
        <is>
          <t>Site</t>
        </is>
      </c>
      <c r="B71" s="14" t="inlineStr">
        <is>
          <t>Parcel N — Address</t>
        </is>
      </c>
      <c r="C71" s="15" t="inlineStr">
        <is>
          <t>Y</t>
        </is>
      </c>
      <c r="D71" s="16" t="inlineStr"/>
      <c r="E71" s="16" t="inlineStr"/>
      <c r="F71" s="14" t="inlineStr">
        <is>
          <t>Text</t>
        </is>
      </c>
      <c r="G71" s="17" t="inlineStr">
        <is>
          <t>Required</t>
        </is>
      </c>
      <c r="H71" s="8" t="inlineStr"/>
      <c r="I71" s="14" t="inlineStr">
        <is>
          <t>Street address per parcel</t>
        </is>
      </c>
    </row>
    <row r="72" ht="14" customHeight="1" s="4">
      <c r="A72" s="10" t="inlineStr">
        <is>
          <t>Site</t>
        </is>
      </c>
      <c r="B72" s="14" t="inlineStr">
        <is>
          <t>Parcel N — Tax ID / APN</t>
        </is>
      </c>
      <c r="C72" s="15" t="inlineStr">
        <is>
          <t>Y</t>
        </is>
      </c>
      <c r="D72" s="16" t="inlineStr"/>
      <c r="E72" s="16" t="inlineStr"/>
      <c r="F72" s="14" t="inlineStr">
        <is>
          <t>Text</t>
        </is>
      </c>
      <c r="G72" s="17" t="inlineStr">
        <is>
          <t>Required</t>
        </is>
      </c>
      <c r="H72" s="8" t="inlineStr"/>
      <c r="I72" s="14" t="inlineStr">
        <is>
          <t>Assessor parcel number</t>
        </is>
      </c>
    </row>
    <row r="73" ht="14" customHeight="1" s="4">
      <c r="A73" s="7" t="inlineStr">
        <is>
          <t>Site</t>
        </is>
      </c>
      <c r="B73" s="14" t="inlineStr">
        <is>
          <t>Parcel N — Land Area (Acres)</t>
        </is>
      </c>
      <c r="C73" s="15" t="inlineStr">
        <is>
          <t>Y</t>
        </is>
      </c>
      <c r="D73" s="16" t="inlineStr"/>
      <c r="E73" s="16" t="inlineStr"/>
      <c r="F73" s="14" t="inlineStr">
        <is>
          <t>Decimal</t>
        </is>
      </c>
      <c r="G73" s="17" t="inlineStr">
        <is>
          <t>Required</t>
        </is>
      </c>
      <c r="H73" s="8" t="inlineStr"/>
      <c r="I73" s="14" t="inlineStr">
        <is>
          <t>User entry in acres</t>
        </is>
      </c>
    </row>
    <row r="74" ht="14" customHeight="1" s="4">
      <c r="A74" s="10" t="inlineStr">
        <is>
          <t>Site</t>
        </is>
      </c>
      <c r="B74" s="20" t="inlineStr">
        <is>
          <t>Parcel N — Land Area (SF)</t>
        </is>
      </c>
      <c r="C74" s="16" t="inlineStr"/>
      <c r="D74" s="15" t="inlineStr">
        <is>
          <t>Y</t>
        </is>
      </c>
      <c r="E74" s="16" t="inlineStr"/>
      <c r="F74" s="20" t="inlineStr">
        <is>
          <t>Decimal</t>
        </is>
      </c>
      <c r="G74" s="19" t="inlineStr">
        <is>
          <t>Calculated</t>
        </is>
      </c>
      <c r="H74" s="8" t="inlineStr"/>
      <c r="I74" s="20" t="inlineStr">
        <is>
          <t>Acres × 43,560</t>
        </is>
      </c>
    </row>
    <row r="75" ht="14" customHeight="1" s="4">
      <c r="A75" s="7" t="inlineStr">
        <is>
          <t>Site</t>
        </is>
      </c>
      <c r="B75" s="14" t="inlineStr">
        <is>
          <t>Parcel N — Usable Area (Acres)</t>
        </is>
      </c>
      <c r="C75" s="15" t="inlineStr">
        <is>
          <t>Y</t>
        </is>
      </c>
      <c r="D75" s="16" t="inlineStr"/>
      <c r="E75" s="16" t="inlineStr"/>
      <c r="F75" s="14" t="inlineStr">
        <is>
          <t>Decimal</t>
        </is>
      </c>
      <c r="G75" s="19" t="inlineStr">
        <is>
          <t>Optional</t>
        </is>
      </c>
      <c r="H75" s="8" t="inlineStr"/>
      <c r="I75" s="14" t="inlineStr">
        <is>
          <t>Net usable/developable area</t>
        </is>
      </c>
    </row>
    <row r="76" ht="14" customHeight="1" s="4">
      <c r="A76" s="10" t="inlineStr">
        <is>
          <t>Site</t>
        </is>
      </c>
      <c r="B76" s="18" t="inlineStr">
        <is>
          <t>Parcel N — Shape</t>
        </is>
      </c>
      <c r="C76" s="16" t="inlineStr"/>
      <c r="D76" s="16" t="inlineStr"/>
      <c r="E76" s="15" t="inlineStr">
        <is>
          <t>Y</t>
        </is>
      </c>
      <c r="F76" s="18" t="inlineStr">
        <is>
          <t>Dropdown</t>
        </is>
      </c>
      <c r="G76" s="17" t="inlineStr">
        <is>
          <t>Required</t>
        </is>
      </c>
      <c r="H76" s="8" t="inlineStr"/>
      <c r="I76" s="18" t="inlineStr">
        <is>
          <t>Regular | Irregular | Triangular | Flag | Other</t>
        </is>
      </c>
    </row>
    <row r="77" ht="14" customHeight="1" s="4">
      <c r="A77" s="7" t="inlineStr">
        <is>
          <t>Site</t>
        </is>
      </c>
      <c r="B77" s="18" t="inlineStr">
        <is>
          <t>Parcel N — Topography</t>
        </is>
      </c>
      <c r="C77" s="16" t="inlineStr"/>
      <c r="D77" s="16" t="inlineStr"/>
      <c r="E77" s="15" t="inlineStr">
        <is>
          <t>Y</t>
        </is>
      </c>
      <c r="F77" s="18" t="inlineStr">
        <is>
          <t>Dropdown</t>
        </is>
      </c>
      <c r="G77" s="17" t="inlineStr">
        <is>
          <t>Required</t>
        </is>
      </c>
      <c r="H77" s="11" t="inlineStr">
        <is>
          <t>N1DBTopography</t>
        </is>
      </c>
      <c r="I77" s="18" t="inlineStr">
        <is>
          <t>Level | Gently Sloping | Steeply Sloping | Hilly | Below Street Grade | Other</t>
        </is>
      </c>
    </row>
    <row r="78" ht="14" customHeight="1" s="4">
      <c r="A78" s="10" t="inlineStr">
        <is>
          <t>Site</t>
        </is>
      </c>
      <c r="B78" s="14" t="inlineStr">
        <is>
          <t>Parcel N — Flood Zone</t>
        </is>
      </c>
      <c r="C78" s="15" t="inlineStr">
        <is>
          <t>Y</t>
        </is>
      </c>
      <c r="D78" s="16" t="inlineStr"/>
      <c r="E78" s="16" t="inlineStr"/>
      <c r="F78" s="14" t="inlineStr">
        <is>
          <t>Text</t>
        </is>
      </c>
      <c r="G78" s="17" t="inlineStr">
        <is>
          <t>Required</t>
        </is>
      </c>
      <c r="H78" s="8" t="inlineStr"/>
      <c r="I78" s="14" t="inlineStr">
        <is>
          <t>FEMA flood zone designation (e.g. X, AE, AH)</t>
        </is>
      </c>
    </row>
    <row r="79" ht="14" customHeight="1" s="4">
      <c r="A79" s="7" t="inlineStr">
        <is>
          <t>Site</t>
        </is>
      </c>
      <c r="B79" s="18" t="inlineStr">
        <is>
          <t>Parcel N — Visibility</t>
        </is>
      </c>
      <c r="C79" s="16" t="inlineStr"/>
      <c r="D79" s="16" t="inlineStr"/>
      <c r="E79" s="15" t="inlineStr">
        <is>
          <t>Y</t>
        </is>
      </c>
      <c r="F79" s="18" t="inlineStr">
        <is>
          <t>Dropdown</t>
        </is>
      </c>
      <c r="G79" s="17" t="inlineStr">
        <is>
          <t>Required</t>
        </is>
      </c>
      <c r="H79" s="11" t="inlineStr">
        <is>
          <t>N1DBVisibility</t>
        </is>
      </c>
      <c r="I79" s="18" t="inlineStr">
        <is>
          <t>Excellent | Good | Average | Fair | Poor</t>
        </is>
      </c>
    </row>
    <row r="80" ht="14" customHeight="1" s="4">
      <c r="A80" s="10" t="inlineStr">
        <is>
          <t>Site</t>
        </is>
      </c>
      <c r="B80" s="18" t="inlineStr">
        <is>
          <t>Parcel N — Corner Location</t>
        </is>
      </c>
      <c r="C80" s="16" t="inlineStr"/>
      <c r="D80" s="16" t="inlineStr"/>
      <c r="E80" s="15" t="inlineStr">
        <is>
          <t>Y</t>
        </is>
      </c>
      <c r="F80" s="18" t="inlineStr">
        <is>
          <t>Dropdown</t>
        </is>
      </c>
      <c r="G80" s="19" t="inlineStr">
        <is>
          <t>Optional</t>
        </is>
      </c>
      <c r="H80" s="8" t="inlineStr"/>
      <c r="I80" s="18" t="inlineStr">
        <is>
          <t>Yes | No</t>
        </is>
      </c>
    </row>
    <row r="81" ht="14" customHeight="1" s="4">
      <c r="A81" s="7" t="inlineStr">
        <is>
          <t>Zoning</t>
        </is>
      </c>
      <c r="B81" s="18" t="inlineStr">
        <is>
          <t>No. of Zones</t>
        </is>
      </c>
      <c r="C81" s="16" t="inlineStr"/>
      <c r="D81" s="16" t="inlineStr"/>
      <c r="E81" s="15" t="inlineStr">
        <is>
          <t>Y</t>
        </is>
      </c>
      <c r="F81" s="18" t="inlineStr">
        <is>
          <t>Dropdown</t>
        </is>
      </c>
      <c r="G81" s="17" t="inlineStr">
        <is>
          <t>Required</t>
        </is>
      </c>
      <c r="H81" s="8" t="inlineStr"/>
      <c r="I81" s="18" t="inlineStr">
        <is>
          <t>1 | 2 | 3 | 4+</t>
        </is>
      </c>
    </row>
    <row r="82" ht="14" customHeight="1" s="4">
      <c r="A82" s="10" t="inlineStr">
        <is>
          <t>Zoning</t>
        </is>
      </c>
      <c r="B82" s="14" t="inlineStr">
        <is>
          <t>Zone N — Zoning Code</t>
        </is>
      </c>
      <c r="C82" s="15" t="inlineStr">
        <is>
          <t>Y</t>
        </is>
      </c>
      <c r="D82" s="16" t="inlineStr"/>
      <c r="E82" s="16" t="inlineStr"/>
      <c r="F82" s="14" t="inlineStr">
        <is>
          <t>Text</t>
        </is>
      </c>
      <c r="G82" s="17" t="inlineStr">
        <is>
          <t>Required</t>
        </is>
      </c>
      <c r="H82" s="11" t="inlineStr">
        <is>
          <t>N1DBZoning</t>
        </is>
      </c>
      <c r="I82" s="14" t="inlineStr">
        <is>
          <t>e.g. R-3, RM-2, C-2</t>
        </is>
      </c>
    </row>
    <row r="83" ht="14" customHeight="1" s="4">
      <c r="A83" s="7" t="inlineStr">
        <is>
          <t>Zoning</t>
        </is>
      </c>
      <c r="B83" s="14" t="inlineStr">
        <is>
          <t>Zone N — Description</t>
        </is>
      </c>
      <c r="C83" s="15" t="inlineStr">
        <is>
          <t>Y</t>
        </is>
      </c>
      <c r="D83" s="16" t="inlineStr"/>
      <c r="E83" s="16" t="inlineStr"/>
      <c r="F83" s="14" t="inlineStr">
        <is>
          <t>Text</t>
        </is>
      </c>
      <c r="G83" s="17" t="inlineStr">
        <is>
          <t>Required</t>
        </is>
      </c>
      <c r="H83" s="8" t="inlineStr"/>
      <c r="I83" s="14" t="inlineStr">
        <is>
          <t>Full zoning name</t>
        </is>
      </c>
    </row>
    <row r="84" ht="14" customHeight="1" s="4">
      <c r="A84" s="10" t="inlineStr">
        <is>
          <t>Zoning</t>
        </is>
      </c>
      <c r="B84" s="14" t="inlineStr">
        <is>
          <t>Zone N — Authority</t>
        </is>
      </c>
      <c r="C84" s="15" t="inlineStr">
        <is>
          <t>Y</t>
        </is>
      </c>
      <c r="D84" s="16" t="inlineStr"/>
      <c r="E84" s="16" t="inlineStr"/>
      <c r="F84" s="14" t="inlineStr">
        <is>
          <t>Text</t>
        </is>
      </c>
      <c r="G84" s="17" t="inlineStr">
        <is>
          <t>Required</t>
        </is>
      </c>
      <c r="H84" s="8" t="inlineStr"/>
      <c r="I84" s="14" t="inlineStr">
        <is>
          <t>Governing jurisdiction</t>
        </is>
      </c>
    </row>
    <row r="85" ht="14" customHeight="1" s="4">
      <c r="A85" s="7" t="inlineStr">
        <is>
          <t>Zoning</t>
        </is>
      </c>
      <c r="B85" s="18" t="inlineStr">
        <is>
          <t>Zone N — Conforming?</t>
        </is>
      </c>
      <c r="C85" s="16" t="inlineStr"/>
      <c r="D85" s="16" t="inlineStr"/>
      <c r="E85" s="15" t="inlineStr">
        <is>
          <t>Y</t>
        </is>
      </c>
      <c r="F85" s="18" t="inlineStr">
        <is>
          <t>Dropdown</t>
        </is>
      </c>
      <c r="G85" s="17" t="inlineStr">
        <is>
          <t>Required</t>
        </is>
      </c>
      <c r="H85" s="8" t="inlineStr"/>
      <c r="I85" s="18" t="inlineStr">
        <is>
          <t>Conforming | Legal Non-Conforming | Non-Conforming | Unknown</t>
        </is>
      </c>
    </row>
    <row r="86" ht="14" customHeight="1" s="4">
      <c r="A86" s="10" t="inlineStr">
        <is>
          <t>Zoning</t>
        </is>
      </c>
      <c r="B86" s="14" t="inlineStr">
        <is>
          <t>Zone N — Max FAR</t>
        </is>
      </c>
      <c r="C86" s="15" t="inlineStr">
        <is>
          <t>Y</t>
        </is>
      </c>
      <c r="D86" s="16" t="inlineStr"/>
      <c r="E86" s="16" t="inlineStr"/>
      <c r="F86" s="14" t="inlineStr">
        <is>
          <t>Decimal</t>
        </is>
      </c>
      <c r="G86" s="19" t="inlineStr">
        <is>
          <t>Optional</t>
        </is>
      </c>
      <c r="H86" s="8" t="inlineStr"/>
      <c r="I86" s="14" t="inlineStr">
        <is>
          <t>Floor area ratio</t>
        </is>
      </c>
    </row>
    <row r="87" ht="14" customHeight="1" s="4">
      <c r="A87" s="7" t="inlineStr">
        <is>
          <t>Zoning</t>
        </is>
      </c>
      <c r="B87" s="14" t="inlineStr">
        <is>
          <t>Zone N — Max Height</t>
        </is>
      </c>
      <c r="C87" s="15" t="inlineStr">
        <is>
          <t>Y</t>
        </is>
      </c>
      <c r="D87" s="16" t="inlineStr"/>
      <c r="E87" s="16" t="inlineStr"/>
      <c r="F87" s="14" t="inlineStr">
        <is>
          <t>Text</t>
        </is>
      </c>
      <c r="G87" s="19" t="inlineStr">
        <is>
          <t>Optional</t>
        </is>
      </c>
      <c r="H87" s="8" t="inlineStr"/>
      <c r="I87" s="14" t="inlineStr">
        <is>
          <t>Max height in feet or stories</t>
        </is>
      </c>
    </row>
    <row r="88" ht="14" customHeight="1" s="4">
      <c r="A88" s="10" t="inlineStr">
        <is>
          <t>Zoning</t>
        </is>
      </c>
      <c r="B88" s="14" t="inlineStr">
        <is>
          <t>Zone N — Parking Requirements</t>
        </is>
      </c>
      <c r="C88" s="15" t="inlineStr">
        <is>
          <t>Y</t>
        </is>
      </c>
      <c r="D88" s="16" t="inlineStr"/>
      <c r="E88" s="16" t="inlineStr"/>
      <c r="F88" s="14" t="inlineStr">
        <is>
          <t>Text</t>
        </is>
      </c>
      <c r="G88" s="19" t="inlineStr">
        <is>
          <t>Optional</t>
        </is>
      </c>
      <c r="H88" s="8" t="inlineStr"/>
      <c r="I88" s="14" t="inlineStr">
        <is>
          <t>Spaces per unit or per 1,000 SF</t>
        </is>
      </c>
    </row>
    <row r="89" ht="14" customHeight="1" s="4">
      <c r="A89" s="7" t="inlineStr">
        <is>
          <t>Improvements</t>
        </is>
      </c>
      <c r="B89" s="18" t="inlineStr">
        <is>
          <t>No. of Buildings</t>
        </is>
      </c>
      <c r="C89" s="16" t="inlineStr"/>
      <c r="D89" s="16" t="inlineStr"/>
      <c r="E89" s="15" t="inlineStr">
        <is>
          <t>Y</t>
        </is>
      </c>
      <c r="F89" s="18" t="inlineStr">
        <is>
          <t>Dropdown</t>
        </is>
      </c>
      <c r="G89" s="17" t="inlineStr">
        <is>
          <t>Required</t>
        </is>
      </c>
      <c r="H89" s="8" t="inlineStr"/>
      <c r="I89" s="18" t="inlineStr">
        <is>
          <t>1 | 2 | 3 | 4 | 5+</t>
        </is>
      </c>
    </row>
    <row r="90" ht="14" customHeight="1" s="4">
      <c r="A90" s="10" t="inlineStr">
        <is>
          <t>Improvements</t>
        </is>
      </c>
      <c r="B90" s="14" t="inlineStr">
        <is>
          <t>Building N — Year Built</t>
        </is>
      </c>
      <c r="C90" s="15" t="inlineStr">
        <is>
          <t>Y</t>
        </is>
      </c>
      <c r="D90" s="16" t="inlineStr"/>
      <c r="E90" s="16" t="inlineStr"/>
      <c r="F90" s="14" t="inlineStr">
        <is>
          <t>Integer</t>
        </is>
      </c>
      <c r="G90" s="17" t="inlineStr">
        <is>
          <t>Required</t>
        </is>
      </c>
      <c r="H90" s="8" t="inlineStr"/>
      <c r="I90" s="14" t="inlineStr">
        <is>
          <t>Original construction year</t>
        </is>
      </c>
    </row>
    <row r="91" ht="14" customHeight="1" s="4">
      <c r="A91" s="7" t="inlineStr">
        <is>
          <t>Improvements</t>
        </is>
      </c>
      <c r="B91" s="14" t="inlineStr">
        <is>
          <t>Building N — Year Renovated</t>
        </is>
      </c>
      <c r="C91" s="15" t="inlineStr">
        <is>
          <t>Y</t>
        </is>
      </c>
      <c r="D91" s="16" t="inlineStr"/>
      <c r="E91" s="16" t="inlineStr"/>
      <c r="F91" s="14" t="inlineStr">
        <is>
          <t>Integer</t>
        </is>
      </c>
      <c r="G91" s="19" t="inlineStr">
        <is>
          <t>Optional</t>
        </is>
      </c>
      <c r="H91" s="8" t="inlineStr"/>
      <c r="I91" s="14" t="inlineStr">
        <is>
          <t>Most recent renovation year</t>
        </is>
      </c>
    </row>
    <row r="92" ht="14" customHeight="1" s="4">
      <c r="A92" s="10" t="inlineStr">
        <is>
          <t>Improvements</t>
        </is>
      </c>
      <c r="B92" s="18" t="inlineStr">
        <is>
          <t>Building N — Quality</t>
        </is>
      </c>
      <c r="C92" s="16" t="inlineStr"/>
      <c r="D92" s="16" t="inlineStr"/>
      <c r="E92" s="15" t="inlineStr">
        <is>
          <t>Y</t>
        </is>
      </c>
      <c r="F92" s="18" t="inlineStr">
        <is>
          <t>Dropdown</t>
        </is>
      </c>
      <c r="G92" s="17" t="inlineStr">
        <is>
          <t>Required</t>
        </is>
      </c>
      <c r="H92" s="8" t="inlineStr"/>
      <c r="I92" s="18" t="inlineStr">
        <is>
          <t>Class A | Class A- | Class B+ | Class B | Class B- | Class C</t>
        </is>
      </c>
    </row>
    <row r="93" ht="14" customHeight="1" s="4">
      <c r="A93" s="7" t="inlineStr">
        <is>
          <t>Improvements</t>
        </is>
      </c>
      <c r="B93" s="18" t="inlineStr">
        <is>
          <t>Building N — Condition</t>
        </is>
      </c>
      <c r="C93" s="16" t="inlineStr"/>
      <c r="D93" s="16" t="inlineStr"/>
      <c r="E93" s="15" t="inlineStr">
        <is>
          <t>Y</t>
        </is>
      </c>
      <c r="F93" s="18" t="inlineStr">
        <is>
          <t>Dropdown</t>
        </is>
      </c>
      <c r="G93" s="17" t="inlineStr">
        <is>
          <t>Required</t>
        </is>
      </c>
      <c r="H93" s="8" t="inlineStr"/>
      <c r="I93" s="18" t="inlineStr">
        <is>
          <t>Excellent | Good | Average | Fair | Poor</t>
        </is>
      </c>
    </row>
    <row r="94" ht="14" customHeight="1" s="4">
      <c r="A94" s="10" t="inlineStr">
        <is>
          <t>Improvements</t>
        </is>
      </c>
      <c r="B94" s="14" t="inlineStr">
        <is>
          <t>Building N — GBA (SF)</t>
        </is>
      </c>
      <c r="C94" s="15" t="inlineStr">
        <is>
          <t>Y</t>
        </is>
      </c>
      <c r="D94" s="16" t="inlineStr"/>
      <c r="E94" s="16" t="inlineStr"/>
      <c r="F94" s="14" t="inlineStr">
        <is>
          <t>Integer</t>
        </is>
      </c>
      <c r="G94" s="17" t="inlineStr">
        <is>
          <t>Required</t>
        </is>
      </c>
      <c r="H94" s="11" t="inlineStr">
        <is>
          <t>N1DBGBA</t>
        </is>
      </c>
      <c r="I94" s="14" t="inlineStr">
        <is>
          <t>Gross Building Area — feeds Cost, Sales, and narrative</t>
        </is>
      </c>
    </row>
    <row r="95" ht="14" customHeight="1" s="4">
      <c r="A95" s="7" t="inlineStr">
        <is>
          <t>Improvements</t>
        </is>
      </c>
      <c r="B95" s="14" t="inlineStr">
        <is>
          <t>Building N — NRA (SF)</t>
        </is>
      </c>
      <c r="C95" s="15" t="inlineStr">
        <is>
          <t>Y</t>
        </is>
      </c>
      <c r="D95" s="16" t="inlineStr"/>
      <c r="E95" s="16" t="inlineStr"/>
      <c r="F95" s="14" t="inlineStr">
        <is>
          <t>Integer</t>
        </is>
      </c>
      <c r="G95" s="17" t="inlineStr">
        <is>
          <t>Required</t>
        </is>
      </c>
      <c r="H95" s="8" t="inlineStr"/>
      <c r="I95" s="14" t="inlineStr">
        <is>
          <t>Net Rentable Area</t>
        </is>
      </c>
    </row>
    <row r="96" ht="14" customHeight="1" s="4">
      <c r="A96" s="10" t="inlineStr">
        <is>
          <t>Improvements</t>
        </is>
      </c>
      <c r="B96" s="14" t="inlineStr">
        <is>
          <t>Building N — Number of Units</t>
        </is>
      </c>
      <c r="C96" s="15" t="inlineStr">
        <is>
          <t>Y</t>
        </is>
      </c>
      <c r="D96" s="16" t="inlineStr"/>
      <c r="E96" s="16" t="inlineStr"/>
      <c r="F96" s="14" t="inlineStr">
        <is>
          <t>Integer</t>
        </is>
      </c>
      <c r="G96" s="9" t="inlineStr">
        <is>
          <t>Conditional</t>
        </is>
      </c>
      <c r="H96" s="8" t="inlineStr"/>
      <c r="I96" s="14" t="inlineStr">
        <is>
          <t>Required for MF. Feeds unit count throughout</t>
        </is>
      </c>
    </row>
    <row r="97" ht="14" customHeight="1" s="4">
      <c r="A97" s="7" t="inlineStr">
        <is>
          <t>Improvements</t>
        </is>
      </c>
      <c r="B97" s="20" t="inlineStr">
        <is>
          <t>Building N — Avg Unit SF</t>
        </is>
      </c>
      <c r="C97" s="16" t="inlineStr"/>
      <c r="D97" s="15" t="inlineStr">
        <is>
          <t>Y</t>
        </is>
      </c>
      <c r="E97" s="16" t="inlineStr"/>
      <c r="F97" s="20" t="inlineStr">
        <is>
          <t>Decimal</t>
        </is>
      </c>
      <c r="G97" s="19" t="inlineStr">
        <is>
          <t>Calculated</t>
        </is>
      </c>
      <c r="H97" s="8" t="inlineStr"/>
      <c r="I97" s="20" t="inlineStr">
        <is>
          <t>NRA ÷ Number of Units</t>
        </is>
      </c>
    </row>
    <row r="98" ht="14" customHeight="1" s="4">
      <c r="A98" s="10" t="inlineStr">
        <is>
          <t>Improvements</t>
        </is>
      </c>
      <c r="B98" s="14" t="inlineStr">
        <is>
          <t>Building N — Parking Spaces</t>
        </is>
      </c>
      <c r="C98" s="15" t="inlineStr">
        <is>
          <t>Y</t>
        </is>
      </c>
      <c r="D98" s="16" t="inlineStr"/>
      <c r="E98" s="16" t="inlineStr"/>
      <c r="F98" s="14" t="inlineStr">
        <is>
          <t>Integer</t>
        </is>
      </c>
      <c r="G98" s="17" t="inlineStr">
        <is>
          <t>Required</t>
        </is>
      </c>
      <c r="H98" s="11" t="inlineStr">
        <is>
          <t>N1BuildingsParkingSpaces</t>
        </is>
      </c>
      <c r="I98" s="14" t="inlineStr">
        <is>
          <t>Total parking count</t>
        </is>
      </c>
    </row>
    <row r="99" ht="14" customHeight="1" s="4">
      <c r="A99" s="7" t="inlineStr">
        <is>
          <t>Improvements</t>
        </is>
      </c>
      <c r="B99" s="20" t="inlineStr">
        <is>
          <t>Building N — Parking Ratio</t>
        </is>
      </c>
      <c r="C99" s="16" t="inlineStr"/>
      <c r="D99" s="15" t="inlineStr">
        <is>
          <t>Y</t>
        </is>
      </c>
      <c r="E99" s="16" t="inlineStr"/>
      <c r="F99" s="20" t="inlineStr">
        <is>
          <t>Decimal</t>
        </is>
      </c>
      <c r="G99" s="19" t="inlineStr">
        <is>
          <t>Calculated</t>
        </is>
      </c>
      <c r="H99" s="8" t="inlineStr"/>
      <c r="I99" s="20" t="inlineStr">
        <is>
          <t>Spaces ÷ Units or per 1,000 SF</t>
        </is>
      </c>
    </row>
    <row r="100" ht="14" customHeight="1" s="4">
      <c r="A100" s="10" t="inlineStr">
        <is>
          <t>Improvements</t>
        </is>
      </c>
      <c r="B100" s="14" t="inlineStr">
        <is>
          <t>Building N — No. of Stories</t>
        </is>
      </c>
      <c r="C100" s="15" t="inlineStr">
        <is>
          <t>Y</t>
        </is>
      </c>
      <c r="D100" s="16" t="inlineStr"/>
      <c r="E100" s="16" t="inlineStr"/>
      <c r="F100" s="14" t="inlineStr">
        <is>
          <t>Integer</t>
        </is>
      </c>
      <c r="G100" s="17" t="inlineStr">
        <is>
          <t>Required</t>
        </is>
      </c>
      <c r="H100" s="8" t="inlineStr"/>
      <c r="I100" s="14" t="inlineStr">
        <is>
          <t>Floor count</t>
        </is>
      </c>
    </row>
    <row r="101" ht="14" customHeight="1" s="4">
      <c r="A101" s="7" t="inlineStr">
        <is>
          <t>Improvements</t>
        </is>
      </c>
      <c r="B101" s="14" t="inlineStr">
        <is>
          <t>Building N — Construction Type</t>
        </is>
      </c>
      <c r="C101" s="15" t="inlineStr">
        <is>
          <t>Y</t>
        </is>
      </c>
      <c r="D101" s="16" t="inlineStr"/>
      <c r="E101" s="16" t="inlineStr"/>
      <c r="F101" s="14" t="inlineStr">
        <is>
          <t>Text</t>
        </is>
      </c>
      <c r="G101" s="17" t="inlineStr">
        <is>
          <t>Required</t>
        </is>
      </c>
      <c r="H101" s="8" t="inlineStr"/>
      <c r="I101" s="14" t="inlineStr">
        <is>
          <t>Wood frame, concrete, steel, masonry</t>
        </is>
      </c>
    </row>
    <row r="102" ht="14" customHeight="1" s="4">
      <c r="A102" s="10" t="inlineStr">
        <is>
          <t>Improvements</t>
        </is>
      </c>
      <c r="B102" s="14" t="inlineStr">
        <is>
          <t>Building N — Effective Age</t>
        </is>
      </c>
      <c r="C102" s="15" t="inlineStr">
        <is>
          <t>Y</t>
        </is>
      </c>
      <c r="D102" s="16" t="inlineStr"/>
      <c r="E102" s="16" t="inlineStr"/>
      <c r="F102" s="14" t="inlineStr">
        <is>
          <t>Integer</t>
        </is>
      </c>
      <c r="G102" s="17" t="inlineStr">
        <is>
          <t>Required</t>
        </is>
      </c>
      <c r="H102" s="8" t="inlineStr"/>
      <c r="I102" s="14" t="inlineStr">
        <is>
          <t>Appraiser's estimated effective age in years</t>
        </is>
      </c>
    </row>
    <row r="103" ht="14" customHeight="1" s="4">
      <c r="A103" s="7" t="inlineStr">
        <is>
          <t>Improvements</t>
        </is>
      </c>
      <c r="B103" s="20" t="inlineStr">
        <is>
          <t>Building N — Remaining Economic Life</t>
        </is>
      </c>
      <c r="C103" s="16" t="inlineStr"/>
      <c r="D103" s="15" t="inlineStr">
        <is>
          <t>Y</t>
        </is>
      </c>
      <c r="E103" s="16" t="inlineStr"/>
      <c r="F103" s="20" t="inlineStr">
        <is>
          <t>Integer</t>
        </is>
      </c>
      <c r="G103" s="19" t="inlineStr">
        <is>
          <t>Calculated</t>
        </is>
      </c>
      <c r="H103" s="8" t="inlineStr"/>
      <c r="I103" s="20" t="inlineStr">
        <is>
          <t>Total Economic Life − Effective Age</t>
        </is>
      </c>
    </row>
    <row r="104" ht="14" customHeight="1" s="4">
      <c r="A104" s="10" t="inlineStr">
        <is>
          <t>Improvements</t>
        </is>
      </c>
      <c r="B104" s="18" t="inlineStr">
        <is>
          <t>Building N — Sprinkler System</t>
        </is>
      </c>
      <c r="C104" s="16" t="inlineStr"/>
      <c r="D104" s="16" t="inlineStr"/>
      <c r="E104" s="15" t="inlineStr">
        <is>
          <t>Y</t>
        </is>
      </c>
      <c r="F104" s="18" t="inlineStr">
        <is>
          <t>Dropdown</t>
        </is>
      </c>
      <c r="G104" s="17" t="inlineStr">
        <is>
          <t>Required</t>
        </is>
      </c>
      <c r="H104" s="8" t="inlineStr"/>
      <c r="I104" s="18" t="inlineStr">
        <is>
          <t>Yes — Wet Pipe | Yes — Dry Pipe | No | Partial</t>
        </is>
      </c>
    </row>
    <row r="105" ht="14" customHeight="1" s="4">
      <c r="A105" s="7" t="inlineStr">
        <is>
          <t>Assessment</t>
        </is>
      </c>
      <c r="B105" s="18" t="inlineStr">
        <is>
          <t>No. of Parcels</t>
        </is>
      </c>
      <c r="C105" s="16" t="inlineStr"/>
      <c r="D105" s="16" t="inlineStr"/>
      <c r="E105" s="15" t="inlineStr">
        <is>
          <t>Y</t>
        </is>
      </c>
      <c r="F105" s="18" t="inlineStr">
        <is>
          <t>Dropdown</t>
        </is>
      </c>
      <c r="G105" s="17" t="inlineStr">
        <is>
          <t>Required</t>
        </is>
      </c>
      <c r="H105" s="8" t="inlineStr"/>
      <c r="I105" s="18" t="inlineStr">
        <is>
          <t>1 | 2 | 3 | 4 | 5+</t>
        </is>
      </c>
    </row>
    <row r="106" ht="14" customHeight="1" s="4">
      <c r="A106" s="10" t="inlineStr">
        <is>
          <t>Assessment</t>
        </is>
      </c>
      <c r="B106" s="14" t="inlineStr">
        <is>
          <t>Parcel N — Tax Year</t>
        </is>
      </c>
      <c r="C106" s="15" t="inlineStr">
        <is>
          <t>Y</t>
        </is>
      </c>
      <c r="D106" s="16" t="inlineStr"/>
      <c r="E106" s="16" t="inlineStr"/>
      <c r="F106" s="14" t="inlineStr">
        <is>
          <t>Integer</t>
        </is>
      </c>
      <c r="G106" s="17" t="inlineStr">
        <is>
          <t>Required</t>
        </is>
      </c>
      <c r="H106" s="8" t="inlineStr"/>
      <c r="I106" s="14" t="inlineStr">
        <is>
          <t>Assessment tax year</t>
        </is>
      </c>
    </row>
    <row r="107" ht="14" customHeight="1" s="4">
      <c r="A107" s="7" t="inlineStr">
        <is>
          <t>Assessment</t>
        </is>
      </c>
      <c r="B107" s="14" t="inlineStr">
        <is>
          <t>Parcel N — Land Assessment</t>
        </is>
      </c>
      <c r="C107" s="15" t="inlineStr">
        <is>
          <t>Y</t>
        </is>
      </c>
      <c r="D107" s="16" t="inlineStr"/>
      <c r="E107" s="16" t="inlineStr"/>
      <c r="F107" s="14" t="inlineStr">
        <is>
          <t>Currency</t>
        </is>
      </c>
      <c r="G107" s="17" t="inlineStr">
        <is>
          <t>Required</t>
        </is>
      </c>
      <c r="H107" s="8" t="inlineStr"/>
      <c r="I107" s="14" t="inlineStr">
        <is>
          <t>Assessed value of land</t>
        </is>
      </c>
    </row>
    <row r="108" ht="14" customHeight="1" s="4">
      <c r="A108" s="10" t="inlineStr">
        <is>
          <t>Assessment</t>
        </is>
      </c>
      <c r="B108" s="14" t="inlineStr">
        <is>
          <t>Parcel N — Improvement Assessment</t>
        </is>
      </c>
      <c r="C108" s="15" t="inlineStr">
        <is>
          <t>Y</t>
        </is>
      </c>
      <c r="D108" s="16" t="inlineStr"/>
      <c r="E108" s="16" t="inlineStr"/>
      <c r="F108" s="14" t="inlineStr">
        <is>
          <t>Currency</t>
        </is>
      </c>
      <c r="G108" s="17" t="inlineStr">
        <is>
          <t>Required</t>
        </is>
      </c>
      <c r="H108" s="8" t="inlineStr"/>
      <c r="I108" s="14" t="inlineStr">
        <is>
          <t>Assessed value of improvements</t>
        </is>
      </c>
    </row>
    <row r="109" ht="14" customHeight="1" s="4">
      <c r="A109" s="7" t="inlineStr">
        <is>
          <t>Assessment</t>
        </is>
      </c>
      <c r="B109" s="20" t="inlineStr">
        <is>
          <t>Parcel N — Total Assessment</t>
        </is>
      </c>
      <c r="C109" s="16" t="inlineStr"/>
      <c r="D109" s="15" t="inlineStr">
        <is>
          <t>Y</t>
        </is>
      </c>
      <c r="E109" s="16" t="inlineStr"/>
      <c r="F109" s="20" t="inlineStr">
        <is>
          <t>Currency</t>
        </is>
      </c>
      <c r="G109" s="19" t="inlineStr">
        <is>
          <t>Calculated</t>
        </is>
      </c>
      <c r="H109" s="8" t="inlineStr"/>
      <c r="I109" s="20" t="inlineStr">
        <is>
          <t>Land + Improvement assessment</t>
        </is>
      </c>
    </row>
    <row r="110" ht="14" customHeight="1" s="4">
      <c r="A110" s="10" t="inlineStr">
        <is>
          <t>Assessment</t>
        </is>
      </c>
      <c r="B110" s="14" t="inlineStr">
        <is>
          <t>Parcel N — Assessment Ratio</t>
        </is>
      </c>
      <c r="C110" s="15" t="inlineStr">
        <is>
          <t>Y</t>
        </is>
      </c>
      <c r="D110" s="16" t="inlineStr"/>
      <c r="E110" s="16" t="inlineStr"/>
      <c r="F110" s="14" t="inlineStr">
        <is>
          <t>Percentage</t>
        </is>
      </c>
      <c r="G110" s="17" t="inlineStr">
        <is>
          <t>Required</t>
        </is>
      </c>
      <c r="H110" s="8" t="inlineStr"/>
      <c r="I110" s="14" t="inlineStr">
        <is>
          <t>e.g. 100% = full value jurisdiction</t>
        </is>
      </c>
    </row>
    <row r="111" ht="14" customHeight="1" s="4">
      <c r="A111" s="7" t="inlineStr">
        <is>
          <t>Assessment</t>
        </is>
      </c>
      <c r="B111" s="20" t="inlineStr">
        <is>
          <t>Parcel N — Indicated Market Value</t>
        </is>
      </c>
      <c r="C111" s="16" t="inlineStr"/>
      <c r="D111" s="15" t="inlineStr">
        <is>
          <t>Y</t>
        </is>
      </c>
      <c r="E111" s="16" t="inlineStr"/>
      <c r="F111" s="20" t="inlineStr">
        <is>
          <t>Currency</t>
        </is>
      </c>
      <c r="G111" s="19" t="inlineStr">
        <is>
          <t>Calculated</t>
        </is>
      </c>
      <c r="H111" s="8" t="inlineStr"/>
      <c r="I111" s="20" t="inlineStr">
        <is>
          <t>Total Assessment ÷ Assessment Ratio</t>
        </is>
      </c>
    </row>
    <row r="112" ht="14" customHeight="1" s="4">
      <c r="A112" s="10" t="inlineStr">
        <is>
          <t>Assessment</t>
        </is>
      </c>
      <c r="B112" s="14" t="inlineStr">
        <is>
          <t>Parcel N — Tax Rate</t>
        </is>
      </c>
      <c r="C112" s="15" t="inlineStr">
        <is>
          <t>Y</t>
        </is>
      </c>
      <c r="D112" s="16" t="inlineStr"/>
      <c r="E112" s="16" t="inlineStr"/>
      <c r="F112" s="14" t="inlineStr">
        <is>
          <t>Percentage</t>
        </is>
      </c>
      <c r="G112" s="17" t="inlineStr">
        <is>
          <t>Required</t>
        </is>
      </c>
      <c r="H112" s="8" t="inlineStr"/>
      <c r="I112" s="14" t="inlineStr">
        <is>
          <t>Applied tax rate (mills or %)</t>
        </is>
      </c>
    </row>
    <row r="113" ht="14" customHeight="1" s="4">
      <c r="A113" s="7" t="inlineStr">
        <is>
          <t>Assessment</t>
        </is>
      </c>
      <c r="B113" s="20" t="inlineStr">
        <is>
          <t>Parcel N — Annual Taxes</t>
        </is>
      </c>
      <c r="C113" s="16" t="inlineStr"/>
      <c r="D113" s="15" t="inlineStr">
        <is>
          <t>Y</t>
        </is>
      </c>
      <c r="E113" s="16" t="inlineStr"/>
      <c r="F113" s="20" t="inlineStr">
        <is>
          <t>Currency</t>
        </is>
      </c>
      <c r="G113" s="19" t="inlineStr">
        <is>
          <t>Calculated</t>
        </is>
      </c>
      <c r="H113" s="8" t="inlineStr"/>
      <c r="I113" s="20" t="inlineStr">
        <is>
          <t>Total Assessment × Tax Rate → feeds Cap &amp; Mult OpEx</t>
        </is>
      </c>
    </row>
    <row r="114" ht="14" customHeight="1" s="4">
      <c r="A114" s="10" t="inlineStr">
        <is>
          <t>Assessment</t>
        </is>
      </c>
      <c r="B114" s="20" t="inlineStr">
        <is>
          <t>Parcel N — Taxes per Unit</t>
        </is>
      </c>
      <c r="C114" s="16" t="inlineStr"/>
      <c r="D114" s="15" t="inlineStr">
        <is>
          <t>Y</t>
        </is>
      </c>
      <c r="E114" s="16" t="inlineStr"/>
      <c r="F114" s="20" t="inlineStr">
        <is>
          <t>Currency</t>
        </is>
      </c>
      <c r="G114" s="19" t="inlineStr">
        <is>
          <t>Calculated</t>
        </is>
      </c>
      <c r="H114" s="8" t="inlineStr"/>
      <c r="I114" s="20" t="inlineStr">
        <is>
          <t>Annual Taxes ÷ Units</t>
        </is>
      </c>
    </row>
    <row r="115" ht="14" customHeight="1" s="4">
      <c r="A115" s="7" t="inlineStr">
        <is>
          <t>Assessment</t>
        </is>
      </c>
      <c r="B115" s="14" t="inlineStr">
        <is>
          <t>Parcel N — Special Assessments</t>
        </is>
      </c>
      <c r="C115" s="15" t="inlineStr">
        <is>
          <t>Y</t>
        </is>
      </c>
      <c r="D115" s="16" t="inlineStr"/>
      <c r="E115" s="16" t="inlineStr"/>
      <c r="F115" s="14" t="inlineStr">
        <is>
          <t>Currency</t>
        </is>
      </c>
      <c r="G115" s="19" t="inlineStr">
        <is>
          <t>Optional</t>
        </is>
      </c>
      <c r="H115" s="8" t="inlineStr"/>
      <c r="I115" s="14" t="inlineStr">
        <is>
          <t>Mello-Roos, BID, etc.</t>
        </is>
      </c>
    </row>
    <row r="116" ht="14" customHeight="1" s="4">
      <c r="A116" s="10" t="inlineStr">
        <is>
          <t>Land Grid</t>
        </is>
      </c>
      <c r="B116" s="14" t="inlineStr">
        <is>
          <t>Comp N — DB Record ID</t>
        </is>
      </c>
      <c r="C116" s="15" t="inlineStr">
        <is>
          <t>Y</t>
        </is>
      </c>
      <c r="D116" s="16" t="inlineStr"/>
      <c r="E116" s="16" t="inlineStr"/>
      <c r="F116" s="14" t="inlineStr">
        <is>
          <t>Integer</t>
        </is>
      </c>
      <c r="G116" s="17" t="inlineStr">
        <is>
          <t>Required</t>
        </is>
      </c>
      <c r="H116" s="8" t="inlineStr"/>
      <c r="I116" s="14" t="inlineStr">
        <is>
          <t>Auto-populates all comp fields from database</t>
        </is>
      </c>
    </row>
    <row r="117" ht="14" customHeight="1" s="4">
      <c r="A117" s="7" t="inlineStr">
        <is>
          <t>Land Grid</t>
        </is>
      </c>
      <c r="B117" s="14" t="inlineStr">
        <is>
          <t>Comp N — Address</t>
        </is>
      </c>
      <c r="C117" s="15" t="inlineStr">
        <is>
          <t>Y</t>
        </is>
      </c>
      <c r="D117" s="16" t="inlineStr"/>
      <c r="E117" s="16" t="inlineStr"/>
      <c r="F117" s="14" t="inlineStr">
        <is>
          <t>Text</t>
        </is>
      </c>
      <c r="G117" s="17" t="inlineStr">
        <is>
          <t>Required</t>
        </is>
      </c>
      <c r="H117" s="8" t="inlineStr"/>
      <c r="I117" s="14" t="inlineStr">
        <is>
          <t>Comparable sale address</t>
        </is>
      </c>
    </row>
    <row r="118" ht="14" customHeight="1" s="4">
      <c r="A118" s="10" t="inlineStr">
        <is>
          <t>Land Grid</t>
        </is>
      </c>
      <c r="B118" s="14" t="inlineStr">
        <is>
          <t>Comp N — Sale Date</t>
        </is>
      </c>
      <c r="C118" s="15" t="inlineStr">
        <is>
          <t>Y</t>
        </is>
      </c>
      <c r="D118" s="16" t="inlineStr"/>
      <c r="E118" s="16" t="inlineStr"/>
      <c r="F118" s="14" t="inlineStr">
        <is>
          <t>Date</t>
        </is>
      </c>
      <c r="G118" s="17" t="inlineStr">
        <is>
          <t>Required</t>
        </is>
      </c>
      <c r="H118" s="8" t="inlineStr"/>
      <c r="I118" s="14" t="inlineStr"/>
    </row>
    <row r="119" ht="14" customHeight="1" s="4">
      <c r="A119" s="7" t="inlineStr">
        <is>
          <t>Land Grid</t>
        </is>
      </c>
      <c r="B119" s="14" t="inlineStr">
        <is>
          <t>Comp N — Sale Price</t>
        </is>
      </c>
      <c r="C119" s="15" t="inlineStr">
        <is>
          <t>Y</t>
        </is>
      </c>
      <c r="D119" s="16" t="inlineStr"/>
      <c r="E119" s="16" t="inlineStr"/>
      <c r="F119" s="14" t="inlineStr">
        <is>
          <t>Currency</t>
        </is>
      </c>
      <c r="G119" s="17" t="inlineStr">
        <is>
          <t>Required</t>
        </is>
      </c>
      <c r="H119" s="8" t="inlineStr"/>
      <c r="I119" s="14" t="inlineStr"/>
    </row>
    <row r="120" ht="14" customHeight="1" s="4">
      <c r="A120" s="10" t="inlineStr">
        <is>
          <t>Land Grid</t>
        </is>
      </c>
      <c r="B120" s="14" t="inlineStr">
        <is>
          <t>Comp N — Price Adjustment</t>
        </is>
      </c>
      <c r="C120" s="15" t="inlineStr">
        <is>
          <t>Y</t>
        </is>
      </c>
      <c r="D120" s="16" t="inlineStr"/>
      <c r="E120" s="16" t="inlineStr"/>
      <c r="F120" s="14" t="inlineStr">
        <is>
          <t>Currency</t>
        </is>
      </c>
      <c r="G120" s="19" t="inlineStr">
        <is>
          <t>Optional</t>
        </is>
      </c>
      <c r="H120" s="8" t="inlineStr"/>
      <c r="I120" s="14" t="inlineStr">
        <is>
          <t>Dollar adjustment to recorded price</t>
        </is>
      </c>
    </row>
    <row r="121" ht="14" customHeight="1" s="4">
      <c r="A121" s="7" t="inlineStr">
        <is>
          <t>Land Grid</t>
        </is>
      </c>
      <c r="B121" s="20" t="inlineStr">
        <is>
          <t>Comp N — Adjusted Price</t>
        </is>
      </c>
      <c r="C121" s="16" t="inlineStr"/>
      <c r="D121" s="15" t="inlineStr">
        <is>
          <t>Y</t>
        </is>
      </c>
      <c r="E121" s="16" t="inlineStr"/>
      <c r="F121" s="20" t="inlineStr">
        <is>
          <t>Currency</t>
        </is>
      </c>
      <c r="G121" s="19" t="inlineStr">
        <is>
          <t>Calculated</t>
        </is>
      </c>
      <c r="H121" s="8" t="inlineStr"/>
      <c r="I121" s="20" t="inlineStr">
        <is>
          <t>Price + Price Adjustment</t>
        </is>
      </c>
    </row>
    <row r="122" ht="14" customHeight="1" s="4">
      <c r="A122" s="10" t="inlineStr">
        <is>
          <t>Land Grid</t>
        </is>
      </c>
      <c r="B122" s="14" t="inlineStr">
        <is>
          <t>Comp N — Land Area (SF)</t>
        </is>
      </c>
      <c r="C122" s="15" t="inlineStr">
        <is>
          <t>Y</t>
        </is>
      </c>
      <c r="D122" s="16" t="inlineStr"/>
      <c r="E122" s="16" t="inlineStr"/>
      <c r="F122" s="14" t="inlineStr">
        <is>
          <t>Integer</t>
        </is>
      </c>
      <c r="G122" s="17" t="inlineStr">
        <is>
          <t>Required</t>
        </is>
      </c>
      <c r="H122" s="8" t="inlineStr"/>
      <c r="I122" s="14" t="inlineStr"/>
    </row>
    <row r="123" ht="14" customHeight="1" s="4">
      <c r="A123" s="7" t="inlineStr">
        <is>
          <t>Land Grid</t>
        </is>
      </c>
      <c r="B123" s="20" t="inlineStr">
        <is>
          <t>Comp N — Land Area (Acres)</t>
        </is>
      </c>
      <c r="C123" s="16" t="inlineStr"/>
      <c r="D123" s="15" t="inlineStr">
        <is>
          <t>Y</t>
        </is>
      </c>
      <c r="E123" s="16" t="inlineStr"/>
      <c r="F123" s="20" t="inlineStr">
        <is>
          <t>Decimal</t>
        </is>
      </c>
      <c r="G123" s="19" t="inlineStr">
        <is>
          <t>Calculated</t>
        </is>
      </c>
      <c r="H123" s="8" t="inlineStr"/>
      <c r="I123" s="20" t="inlineStr">
        <is>
          <t>SF ÷ 43,560</t>
        </is>
      </c>
    </row>
    <row r="124" ht="14" customHeight="1" s="4">
      <c r="A124" s="10" t="inlineStr">
        <is>
          <t>Land Grid</t>
        </is>
      </c>
      <c r="B124" s="20" t="inlineStr">
        <is>
          <t>Comp N — Price/SF</t>
        </is>
      </c>
      <c r="C124" s="16" t="inlineStr"/>
      <c r="D124" s="15" t="inlineStr">
        <is>
          <t>Y</t>
        </is>
      </c>
      <c r="E124" s="16" t="inlineStr"/>
      <c r="F124" s="20" t="inlineStr">
        <is>
          <t>Currency</t>
        </is>
      </c>
      <c r="G124" s="19" t="inlineStr">
        <is>
          <t>Calculated</t>
        </is>
      </c>
      <c r="H124" s="8" t="inlineStr"/>
      <c r="I124" s="20" t="inlineStr">
        <is>
          <t>Adjusted Price ÷ Land SF</t>
        </is>
      </c>
    </row>
    <row r="125" ht="14" customHeight="1" s="4">
      <c r="A125" s="7" t="inlineStr">
        <is>
          <t>Land Grid</t>
        </is>
      </c>
      <c r="B125" s="20" t="inlineStr">
        <is>
          <t>Comp N — Price/Acre</t>
        </is>
      </c>
      <c r="C125" s="16" t="inlineStr"/>
      <c r="D125" s="15" t="inlineStr">
        <is>
          <t>Y</t>
        </is>
      </c>
      <c r="E125" s="16" t="inlineStr"/>
      <c r="F125" s="20" t="inlineStr">
        <is>
          <t>Currency</t>
        </is>
      </c>
      <c r="G125" s="19" t="inlineStr">
        <is>
          <t>Calculated</t>
        </is>
      </c>
      <c r="H125" s="8" t="inlineStr"/>
      <c r="I125" s="20" t="inlineStr">
        <is>
          <t>Adjusted Price ÷ Acres</t>
        </is>
      </c>
    </row>
    <row r="126" ht="14" customHeight="1" s="4">
      <c r="A126" s="10" t="inlineStr">
        <is>
          <t>Land Grid</t>
        </is>
      </c>
      <c r="B126" s="14" t="inlineStr">
        <is>
          <t>Adjustment Rows (Sales Status, Rights, Financing, Conditions, Market, Location, Access, Size, Shape, Topography, Utilities, Zoning)</t>
        </is>
      </c>
      <c r="C126" s="15" t="inlineStr">
        <is>
          <t>Y</t>
        </is>
      </c>
      <c r="D126" s="16" t="inlineStr"/>
      <c r="E126" s="16" t="inlineStr"/>
      <c r="F126" s="14" t="inlineStr">
        <is>
          <t>Currency / %</t>
        </is>
      </c>
      <c r="G126" s="17" t="inlineStr">
        <is>
          <t>Required</t>
        </is>
      </c>
      <c r="H126" s="8" t="inlineStr"/>
      <c r="I126" s="14" t="inlineStr">
        <is>
          <t>Adjustment grid — dollar or % per element per comp</t>
        </is>
      </c>
    </row>
    <row r="127" ht="14" customHeight="1" s="4">
      <c r="A127" s="7" t="inlineStr">
        <is>
          <t>Land Grid</t>
        </is>
      </c>
      <c r="B127" s="20" t="inlineStr">
        <is>
          <t>Net Adjustment per Comp</t>
        </is>
      </c>
      <c r="C127" s="16" t="inlineStr"/>
      <c r="D127" s="15" t="inlineStr">
        <is>
          <t>Y</t>
        </is>
      </c>
      <c r="E127" s="16" t="inlineStr"/>
      <c r="F127" s="20" t="inlineStr">
        <is>
          <t>Currency</t>
        </is>
      </c>
      <c r="G127" s="19" t="inlineStr">
        <is>
          <t>Calculated</t>
        </is>
      </c>
      <c r="H127" s="8" t="inlineStr"/>
      <c r="I127" s="20" t="inlineStr">
        <is>
          <t>Sum of all adjustment rows</t>
        </is>
      </c>
    </row>
    <row r="128" ht="14" customHeight="1" s="4">
      <c r="A128" s="10" t="inlineStr">
        <is>
          <t>Sales Grid</t>
        </is>
      </c>
      <c r="B128" s="14" t="inlineStr">
        <is>
          <t>Comp N — DB Record ID</t>
        </is>
      </c>
      <c r="C128" s="15" t="inlineStr">
        <is>
          <t>Y</t>
        </is>
      </c>
      <c r="D128" s="16" t="inlineStr"/>
      <c r="E128" s="16" t="inlineStr"/>
      <c r="F128" s="14" t="inlineStr">
        <is>
          <t>Integer</t>
        </is>
      </c>
      <c r="G128" s="17" t="inlineStr">
        <is>
          <t>Required</t>
        </is>
      </c>
      <c r="H128" s="8" t="inlineStr"/>
      <c r="I128" s="14" t="inlineStr">
        <is>
          <t>Auto-populates comp fields. Active comps: 3313 Camvic Ter, 2955 McMicken Ave, etc.</t>
        </is>
      </c>
    </row>
    <row r="129" ht="14" customHeight="1" s="4">
      <c r="A129" s="7" t="inlineStr">
        <is>
          <t>Sales Grid</t>
        </is>
      </c>
      <c r="B129" s="14" t="inlineStr">
        <is>
          <t>Comp N — Sale Date</t>
        </is>
      </c>
      <c r="C129" s="15" t="inlineStr">
        <is>
          <t>Y</t>
        </is>
      </c>
      <c r="D129" s="16" t="inlineStr"/>
      <c r="E129" s="16" t="inlineStr"/>
      <c r="F129" s="14" t="inlineStr">
        <is>
          <t>Date</t>
        </is>
      </c>
      <c r="G129" s="17" t="inlineStr">
        <is>
          <t>Required</t>
        </is>
      </c>
      <c r="H129" s="8" t="inlineStr"/>
      <c r="I129" s="14" t="inlineStr"/>
    </row>
    <row r="130" ht="14" customHeight="1" s="4">
      <c r="A130" s="10" t="inlineStr">
        <is>
          <t>Sales Grid</t>
        </is>
      </c>
      <c r="B130" s="14" t="inlineStr">
        <is>
          <t>Comp N — Sale Price</t>
        </is>
      </c>
      <c r="C130" s="15" t="inlineStr">
        <is>
          <t>Y</t>
        </is>
      </c>
      <c r="D130" s="16" t="inlineStr"/>
      <c r="E130" s="16" t="inlineStr"/>
      <c r="F130" s="14" t="inlineStr">
        <is>
          <t>Currency</t>
        </is>
      </c>
      <c r="G130" s="17" t="inlineStr">
        <is>
          <t>Required</t>
        </is>
      </c>
      <c r="H130" s="8" t="inlineStr"/>
      <c r="I130" s="14" t="inlineStr"/>
    </row>
    <row r="131" ht="14" customHeight="1" s="4">
      <c r="A131" s="7" t="inlineStr">
        <is>
          <t>Sales Grid</t>
        </is>
      </c>
      <c r="B131" s="14" t="inlineStr">
        <is>
          <t>Comp N — GBA (SF)</t>
        </is>
      </c>
      <c r="C131" s="15" t="inlineStr">
        <is>
          <t>Y</t>
        </is>
      </c>
      <c r="D131" s="16" t="inlineStr"/>
      <c r="E131" s="16" t="inlineStr"/>
      <c r="F131" s="14" t="inlineStr">
        <is>
          <t>Integer</t>
        </is>
      </c>
      <c r="G131" s="17" t="inlineStr">
        <is>
          <t>Required</t>
        </is>
      </c>
      <c r="H131" s="8" t="inlineStr"/>
      <c r="I131" s="14" t="inlineStr"/>
    </row>
    <row r="132" ht="14" customHeight="1" s="4">
      <c r="A132" s="10" t="inlineStr">
        <is>
          <t>Sales Grid</t>
        </is>
      </c>
      <c r="B132" s="14" t="inlineStr">
        <is>
          <t>Comp N — Year Built</t>
        </is>
      </c>
      <c r="C132" s="15" t="inlineStr">
        <is>
          <t>Y</t>
        </is>
      </c>
      <c r="D132" s="16" t="inlineStr"/>
      <c r="E132" s="16" t="inlineStr"/>
      <c r="F132" s="14" t="inlineStr">
        <is>
          <t>Integer</t>
        </is>
      </c>
      <c r="G132" s="17" t="inlineStr">
        <is>
          <t>Required</t>
        </is>
      </c>
      <c r="H132" s="8" t="inlineStr"/>
      <c r="I132" s="14" t="inlineStr"/>
    </row>
    <row r="133" ht="14" customHeight="1" s="4">
      <c r="A133" s="7" t="inlineStr">
        <is>
          <t>Sales Grid</t>
        </is>
      </c>
      <c r="B133" s="14" t="inlineStr">
        <is>
          <t>Comp N — Number of Units</t>
        </is>
      </c>
      <c r="C133" s="15" t="inlineStr">
        <is>
          <t>Y</t>
        </is>
      </c>
      <c r="D133" s="16" t="inlineStr"/>
      <c r="E133" s="16" t="inlineStr"/>
      <c r="F133" s="14" t="inlineStr">
        <is>
          <t>Integer</t>
        </is>
      </c>
      <c r="G133" s="9" t="inlineStr">
        <is>
          <t>Conditional</t>
        </is>
      </c>
      <c r="H133" s="8" t="inlineStr"/>
      <c r="I133" s="14" t="inlineStr">
        <is>
          <t>Required for MF</t>
        </is>
      </c>
    </row>
    <row r="134" ht="14" customHeight="1" s="4">
      <c r="A134" s="10" t="inlineStr">
        <is>
          <t>Sales Grid</t>
        </is>
      </c>
      <c r="B134" s="20" t="inlineStr">
        <is>
          <t>Comp N — Price/Unit</t>
        </is>
      </c>
      <c r="C134" s="16" t="inlineStr"/>
      <c r="D134" s="15" t="inlineStr">
        <is>
          <t>Y</t>
        </is>
      </c>
      <c r="E134" s="16" t="inlineStr"/>
      <c r="F134" s="20" t="inlineStr">
        <is>
          <t>Currency</t>
        </is>
      </c>
      <c r="G134" s="19" t="inlineStr">
        <is>
          <t>Calculated</t>
        </is>
      </c>
      <c r="H134" s="8" t="inlineStr"/>
      <c r="I134" s="20" t="inlineStr">
        <is>
          <t>Sale Price ÷ Units</t>
        </is>
      </c>
    </row>
    <row r="135" ht="14" customHeight="1" s="4">
      <c r="A135" s="7" t="inlineStr">
        <is>
          <t>Sales Grid</t>
        </is>
      </c>
      <c r="B135" s="20" t="inlineStr">
        <is>
          <t>Comp N — Price/SF</t>
        </is>
      </c>
      <c r="C135" s="16" t="inlineStr"/>
      <c r="D135" s="15" t="inlineStr">
        <is>
          <t>Y</t>
        </is>
      </c>
      <c r="E135" s="16" t="inlineStr"/>
      <c r="F135" s="20" t="inlineStr">
        <is>
          <t>Currency</t>
        </is>
      </c>
      <c r="G135" s="19" t="inlineStr">
        <is>
          <t>Calculated</t>
        </is>
      </c>
      <c r="H135" s="8" t="inlineStr"/>
      <c r="I135" s="20" t="inlineStr">
        <is>
          <t>Sale Price ÷ GBA</t>
        </is>
      </c>
    </row>
    <row r="136" ht="14" customHeight="1" s="4">
      <c r="A136" s="10" t="inlineStr">
        <is>
          <t>Sales Grid</t>
        </is>
      </c>
      <c r="B136" s="14" t="inlineStr">
        <is>
          <t>Adjustment Rows</t>
        </is>
      </c>
      <c r="C136" s="15" t="inlineStr">
        <is>
          <t>Y</t>
        </is>
      </c>
      <c r="D136" s="16" t="inlineStr"/>
      <c r="E136" s="16" t="inlineStr"/>
      <c r="F136" s="14" t="inlineStr">
        <is>
          <t>Currency / %</t>
        </is>
      </c>
      <c r="G136" s="17" t="inlineStr">
        <is>
          <t>Required</t>
        </is>
      </c>
      <c r="H136" s="8" t="inlineStr"/>
      <c r="I136" s="14" t="inlineStr">
        <is>
          <t>Rights, Financing, Conditions, Market, Location, Physical, Functional, Economic</t>
        </is>
      </c>
    </row>
    <row r="137" ht="14" customHeight="1" s="4">
      <c r="A137" s="7" t="inlineStr">
        <is>
          <t>Sales Grid</t>
        </is>
      </c>
      <c r="B137" s="20" t="inlineStr">
        <is>
          <t>Adjusted Price/Unit</t>
        </is>
      </c>
      <c r="C137" s="16" t="inlineStr"/>
      <c r="D137" s="15" t="inlineStr">
        <is>
          <t>Y</t>
        </is>
      </c>
      <c r="E137" s="16" t="inlineStr"/>
      <c r="F137" s="20" t="inlineStr">
        <is>
          <t>Currency</t>
        </is>
      </c>
      <c r="G137" s="19" t="inlineStr">
        <is>
          <t>Calculated</t>
        </is>
      </c>
      <c r="H137" s="8" t="inlineStr"/>
      <c r="I137" s="20" t="inlineStr">
        <is>
          <t>Price/Unit after all adjustments</t>
        </is>
      </c>
    </row>
    <row r="138" ht="14" customHeight="1" s="4">
      <c r="A138" s="10" t="inlineStr">
        <is>
          <t>Sales Grid</t>
        </is>
      </c>
      <c r="B138" s="20" t="inlineStr">
        <is>
          <t>Adjusted Price/SF</t>
        </is>
      </c>
      <c r="C138" s="16" t="inlineStr"/>
      <c r="D138" s="15" t="inlineStr">
        <is>
          <t>Y</t>
        </is>
      </c>
      <c r="E138" s="16" t="inlineStr"/>
      <c r="F138" s="20" t="inlineStr">
        <is>
          <t>Currency</t>
        </is>
      </c>
      <c r="G138" s="19" t="inlineStr">
        <is>
          <t>Calculated</t>
        </is>
      </c>
      <c r="H138" s="8" t="inlineStr"/>
      <c r="I138" s="20" t="inlineStr">
        <is>
          <t>Price/SF after all adjustments</t>
        </is>
      </c>
    </row>
    <row r="139" ht="14" customHeight="1" s="4">
      <c r="A139" s="7" t="inlineStr">
        <is>
          <t>Income Approach Setup</t>
        </is>
      </c>
      <c r="B139" s="18" t="inlineStr">
        <is>
          <t>How many Lease Grids?</t>
        </is>
      </c>
      <c r="C139" s="16" t="inlineStr"/>
      <c r="D139" s="16" t="inlineStr"/>
      <c r="E139" s="15" t="inlineStr">
        <is>
          <t>Y</t>
        </is>
      </c>
      <c r="F139" s="18" t="inlineStr">
        <is>
          <t>Dropdown</t>
        </is>
      </c>
      <c r="G139" s="17" t="inlineStr">
        <is>
          <t>Required</t>
        </is>
      </c>
      <c r="H139" s="11" t="inlineStr">
        <is>
          <t>pvaIncomeApproach_QtyLeaseGrids</t>
        </is>
      </c>
      <c r="I139" s="18" t="inlineStr">
        <is>
          <t>1 | 2 | 3</t>
        </is>
      </c>
    </row>
    <row r="140" ht="14" customHeight="1" s="4">
      <c r="A140" s="10" t="inlineStr">
        <is>
          <t>Income Approach Setup</t>
        </is>
      </c>
      <c r="B140" s="14" t="inlineStr">
        <is>
          <t>How many historical statements?</t>
        </is>
      </c>
      <c r="C140" s="15" t="inlineStr">
        <is>
          <t>Y</t>
        </is>
      </c>
      <c r="D140" s="16" t="inlineStr"/>
      <c r="E140" s="16" t="inlineStr"/>
      <c r="F140" s="14" t="inlineStr">
        <is>
          <t>Integer</t>
        </is>
      </c>
      <c r="G140" s="17" t="inlineStr">
        <is>
          <t>Required</t>
        </is>
      </c>
      <c r="H140" s="11" t="inlineStr">
        <is>
          <t>pvaIncomeApproach_QtyStatements</t>
        </is>
      </c>
      <c r="I140" s="14" t="inlineStr">
        <is>
          <t>Number of P&amp;L tabs to activate (T-12 + Year-1 through Year-6)</t>
        </is>
      </c>
    </row>
    <row r="141" ht="14" customHeight="1" s="4">
      <c r="A141" s="7" t="inlineStr">
        <is>
          <t>Income Approach Setup</t>
        </is>
      </c>
      <c r="B141" s="18" t="inlineStr">
        <is>
          <t>Rental Rate Method</t>
        </is>
      </c>
      <c r="C141" s="16" t="inlineStr"/>
      <c r="D141" s="16" t="inlineStr"/>
      <c r="E141" s="15" t="inlineStr">
        <is>
          <t>Y</t>
        </is>
      </c>
      <c r="F141" s="18" t="inlineStr">
        <is>
          <t>Dropdown</t>
        </is>
      </c>
      <c r="G141" s="17" t="inlineStr">
        <is>
          <t>Required</t>
        </is>
      </c>
      <c r="H141" s="11" t="inlineStr">
        <is>
          <t>pvaIncomeApproach_RentalRateMethod</t>
        </is>
      </c>
      <c r="I141" s="18" t="inlineStr">
        <is>
          <t>$/SF/Mo | $/SF/Yr | $/Unit/Mo | $/Unit/Yr | $/Room/Mo</t>
        </is>
      </c>
    </row>
    <row r="142" ht="14" customHeight="1" s="4">
      <c r="A142" s="10" t="inlineStr">
        <is>
          <t>Income Approach Setup</t>
        </is>
      </c>
      <c r="B142" s="18" t="inlineStr">
        <is>
          <t>Is the subject stabilized?</t>
        </is>
      </c>
      <c r="C142" s="16" t="inlineStr"/>
      <c r="D142" s="16" t="inlineStr"/>
      <c r="E142" s="15" t="inlineStr">
        <is>
          <t>Y</t>
        </is>
      </c>
      <c r="F142" s="18" t="inlineStr">
        <is>
          <t>Dropdown</t>
        </is>
      </c>
      <c r="G142" s="17" t="inlineStr">
        <is>
          <t>Required</t>
        </is>
      </c>
      <c r="H142" s="11" t="inlineStr">
        <is>
          <t>pvaIncomeApproach_IsStabilized</t>
        </is>
      </c>
      <c r="I142" s="18" t="inlineStr">
        <is>
          <t>Yes | No</t>
        </is>
      </c>
    </row>
    <row r="143" ht="14" customHeight="1" s="4">
      <c r="A143" s="7" t="inlineStr">
        <is>
          <t>Income Approach Setup</t>
        </is>
      </c>
      <c r="B143" s="18" t="inlineStr">
        <is>
          <t>DCF Method</t>
        </is>
      </c>
      <c r="C143" s="16" t="inlineStr"/>
      <c r="D143" s="16" t="inlineStr"/>
      <c r="E143" s="15" t="inlineStr">
        <is>
          <t>Y</t>
        </is>
      </c>
      <c r="F143" s="18" t="inlineStr">
        <is>
          <t>Dropdown</t>
        </is>
      </c>
      <c r="G143" s="17" t="inlineStr">
        <is>
          <t>Required</t>
        </is>
      </c>
      <c r="H143" s="11" t="inlineStr">
        <is>
          <t>pvaIncomeApproach_MethodsUsed</t>
        </is>
      </c>
      <c r="I143" s="18" t="inlineStr">
        <is>
          <t>Direct Cap Only | DCF Only | Both</t>
        </is>
      </c>
    </row>
    <row r="144" ht="14" customHeight="1" s="4">
      <c r="A144" s="10" t="inlineStr">
        <is>
          <t>Income Approach Setup</t>
        </is>
      </c>
      <c r="B144" s="14" t="inlineStr">
        <is>
          <t>How many projections?</t>
        </is>
      </c>
      <c r="C144" s="15" t="inlineStr">
        <is>
          <t>Y</t>
        </is>
      </c>
      <c r="D144" s="16" t="inlineStr"/>
      <c r="E144" s="16" t="inlineStr"/>
      <c r="F144" s="14" t="inlineStr">
        <is>
          <t>Integer</t>
        </is>
      </c>
      <c r="G144" s="19" t="inlineStr">
        <is>
          <t>Optional</t>
        </is>
      </c>
      <c r="H144" s="11" t="inlineStr">
        <is>
          <t>pvaIncomeApproach_QtyProjections</t>
        </is>
      </c>
      <c r="I144" s="14" t="inlineStr">
        <is>
          <t>1–6</t>
        </is>
      </c>
    </row>
    <row r="145" ht="14" customHeight="1" s="4">
      <c r="A145" s="7" t="inlineStr">
        <is>
          <t>Rent Roll Input</t>
        </is>
      </c>
      <c r="B145" s="14" t="inlineStr">
        <is>
          <t>Asset ID</t>
        </is>
      </c>
      <c r="C145" s="15" t="inlineStr">
        <is>
          <t>Y</t>
        </is>
      </c>
      <c r="D145" s="16" t="inlineStr"/>
      <c r="E145" s="16" t="inlineStr"/>
      <c r="F145" s="14" t="inlineStr">
        <is>
          <t>Integer</t>
        </is>
      </c>
      <c r="G145" s="17" t="inlineStr">
        <is>
          <t>Required</t>
        </is>
      </c>
      <c r="H145" s="8" t="inlineStr"/>
      <c r="I145" s="14" t="inlineStr">
        <is>
          <t>Links to DB record for auto-import</t>
        </is>
      </c>
    </row>
    <row r="146" ht="14" customHeight="1" s="4">
      <c r="A146" s="10" t="inlineStr">
        <is>
          <t>Rent Roll Input</t>
        </is>
      </c>
      <c r="B146" s="14" t="inlineStr">
        <is>
          <t>Rent Roll Date</t>
        </is>
      </c>
      <c r="C146" s="15" t="inlineStr">
        <is>
          <t>Y</t>
        </is>
      </c>
      <c r="D146" s="16" t="inlineStr"/>
      <c r="E146" s="16" t="inlineStr"/>
      <c r="F146" s="14" t="inlineStr">
        <is>
          <t>Date</t>
        </is>
      </c>
      <c r="G146" s="17" t="inlineStr">
        <is>
          <t>Required</t>
        </is>
      </c>
      <c r="H146" s="8" t="inlineStr"/>
      <c r="I146" s="14" t="inlineStr">
        <is>
          <t>Date of the rent roll document</t>
        </is>
      </c>
    </row>
    <row r="147" ht="14" customHeight="1" s="4">
      <c r="A147" s="7" t="inlineStr">
        <is>
          <t>Rent Roll Input</t>
        </is>
      </c>
      <c r="B147" s="18" t="inlineStr">
        <is>
          <t>Column Header Mapping (row 4)</t>
        </is>
      </c>
      <c r="C147" s="16" t="inlineStr"/>
      <c r="D147" s="16" t="inlineStr"/>
      <c r="E147" s="15" t="inlineStr">
        <is>
          <t>Y</t>
        </is>
      </c>
      <c r="F147" s="18" t="inlineStr">
        <is>
          <t>Dropdown</t>
        </is>
      </c>
      <c r="G147" s="17" t="inlineStr">
        <is>
          <t>Required</t>
        </is>
      </c>
      <c r="H147" s="8" t="inlineStr"/>
      <c r="I147" s="18" t="inlineStr">
        <is>
          <t>Maps pasted columns → system fields: Unit#, Type, Bed, Bath, SF, Status, Asking Rent, Contract Rent, Lease Start, Lease End, Tenant Name</t>
        </is>
      </c>
    </row>
    <row r="148" ht="14" customHeight="1" s="4">
      <c r="A148" s="10" t="inlineStr">
        <is>
          <t>Rent Roll Input</t>
        </is>
      </c>
      <c r="B148" s="14" t="inlineStr">
        <is>
          <t>Pasted Unit Data (row 7+)</t>
        </is>
      </c>
      <c r="C148" s="15" t="inlineStr">
        <is>
          <t>Y</t>
        </is>
      </c>
      <c r="D148" s="16" t="inlineStr"/>
      <c r="E148" s="16" t="inlineStr"/>
      <c r="F148" s="14" t="inlineStr">
        <is>
          <t>Mixed</t>
        </is>
      </c>
      <c r="G148" s="17" t="inlineStr">
        <is>
          <t>Required</t>
        </is>
      </c>
      <c r="H148" s="8" t="inlineStr"/>
      <c r="I148" s="14" t="inlineStr">
        <is>
          <t>Raw rent roll data — one row per unit</t>
        </is>
      </c>
    </row>
    <row r="149" ht="14" customHeight="1" s="4">
      <c r="A149" s="7" t="inlineStr">
        <is>
          <t>Rent Roll Config</t>
        </is>
      </c>
      <c r="B149" s="18" t="inlineStr">
        <is>
          <t>Group by Bedroom</t>
        </is>
      </c>
      <c r="C149" s="16" t="inlineStr"/>
      <c r="D149" s="16" t="inlineStr"/>
      <c r="E149" s="15" t="inlineStr">
        <is>
          <t>Y</t>
        </is>
      </c>
      <c r="F149" s="18" t="inlineStr">
        <is>
          <t>Dropdown</t>
        </is>
      </c>
      <c r="G149" s="17" t="inlineStr">
        <is>
          <t>Required</t>
        </is>
      </c>
      <c r="H149" s="8" t="inlineStr"/>
      <c r="I149" s="18" t="inlineStr">
        <is>
          <t>Yes | No</t>
        </is>
      </c>
    </row>
    <row r="150" ht="14" customHeight="1" s="4">
      <c r="A150" s="10" t="inlineStr">
        <is>
          <t>Rent Roll Config</t>
        </is>
      </c>
      <c r="B150" s="18" t="inlineStr">
        <is>
          <t>Group by Bathroom</t>
        </is>
      </c>
      <c r="C150" s="16" t="inlineStr"/>
      <c r="D150" s="16" t="inlineStr"/>
      <c r="E150" s="15" t="inlineStr">
        <is>
          <t>Y</t>
        </is>
      </c>
      <c r="F150" s="18" t="inlineStr">
        <is>
          <t>Dropdown</t>
        </is>
      </c>
      <c r="G150" s="17" t="inlineStr">
        <is>
          <t>Required</t>
        </is>
      </c>
      <c r="H150" s="8" t="inlineStr"/>
      <c r="I150" s="18" t="inlineStr">
        <is>
          <t>Yes | No</t>
        </is>
      </c>
    </row>
    <row r="151" ht="14" customHeight="1" s="4">
      <c r="A151" s="7" t="inlineStr">
        <is>
          <t>Rent Roll Config</t>
        </is>
      </c>
      <c r="B151" s="18" t="inlineStr">
        <is>
          <t>Group by Unit Type</t>
        </is>
      </c>
      <c r="C151" s="16" t="inlineStr"/>
      <c r="D151" s="16" t="inlineStr"/>
      <c r="E151" s="15" t="inlineStr">
        <is>
          <t>Y</t>
        </is>
      </c>
      <c r="F151" s="18" t="inlineStr">
        <is>
          <t>Dropdown</t>
        </is>
      </c>
      <c r="G151" s="17" t="inlineStr">
        <is>
          <t>Required</t>
        </is>
      </c>
      <c r="H151" s="8" t="inlineStr"/>
      <c r="I151" s="18" t="inlineStr">
        <is>
          <t>Yes | No</t>
        </is>
      </c>
    </row>
    <row r="152" ht="14" customHeight="1" s="4">
      <c r="A152" s="10" t="inlineStr">
        <is>
          <t>Rent Roll Config</t>
        </is>
      </c>
      <c r="B152" s="18" t="inlineStr">
        <is>
          <t>Group by Renovation Status</t>
        </is>
      </c>
      <c r="C152" s="16" t="inlineStr"/>
      <c r="D152" s="16" t="inlineStr"/>
      <c r="E152" s="15" t="inlineStr">
        <is>
          <t>Y</t>
        </is>
      </c>
      <c r="F152" s="18" t="inlineStr">
        <is>
          <t>Dropdown</t>
        </is>
      </c>
      <c r="G152" s="19" t="inlineStr">
        <is>
          <t>Optional</t>
        </is>
      </c>
      <c r="H152" s="8" t="inlineStr"/>
      <c r="I152" s="18" t="inlineStr">
        <is>
          <t>Yes | No</t>
        </is>
      </c>
    </row>
    <row r="153" ht="14" customHeight="1" s="4">
      <c r="A153" s="7" t="inlineStr">
        <is>
          <t>Rent Roll Config</t>
        </is>
      </c>
      <c r="B153" s="18" t="inlineStr">
        <is>
          <t>Unit Name Label Source</t>
        </is>
      </c>
      <c r="C153" s="16" t="inlineStr"/>
      <c r="D153" s="16" t="inlineStr"/>
      <c r="E153" s="15" t="inlineStr">
        <is>
          <t>Y</t>
        </is>
      </c>
      <c r="F153" s="18" t="inlineStr">
        <is>
          <t>Dropdown</t>
        </is>
      </c>
      <c r="G153" s="17" t="inlineStr">
        <is>
          <t>Required</t>
        </is>
      </c>
      <c r="H153" s="8" t="inlineStr"/>
      <c r="I153" s="18" t="inlineStr">
        <is>
          <t>abc | 123 | Label Prefix</t>
        </is>
      </c>
    </row>
    <row r="154" ht="14" customHeight="1" s="4">
      <c r="A154" s="10" t="inlineStr">
        <is>
          <t>Rent Roll Config</t>
        </is>
      </c>
      <c r="B154" s="14" t="inlineStr">
        <is>
          <t>UnitMix_ConfigID</t>
        </is>
      </c>
      <c r="C154" s="15" t="inlineStr">
        <is>
          <t>Y</t>
        </is>
      </c>
      <c r="D154" s="16" t="inlineStr"/>
      <c r="E154" s="16" t="inlineStr"/>
      <c r="F154" s="14" t="inlineStr">
        <is>
          <t>Text</t>
        </is>
      </c>
      <c r="G154" s="17" t="inlineStr">
        <is>
          <t>Required</t>
        </is>
      </c>
      <c r="H154" s="8" t="inlineStr"/>
      <c r="I154" s="14" t="inlineStr">
        <is>
          <t>Unique ID per unit type row — referenced by MF Market Rent</t>
        </is>
      </c>
    </row>
    <row r="155" ht="14" customHeight="1" s="4">
      <c r="A155" s="7" t="inlineStr">
        <is>
          <t>Rent Roll Config</t>
        </is>
      </c>
      <c r="B155" s="18" t="inlineStr">
        <is>
          <t>Affordable Flag per unit type</t>
        </is>
      </c>
      <c r="C155" s="16" t="inlineStr"/>
      <c r="D155" s="16" t="inlineStr"/>
      <c r="E155" s="15" t="inlineStr">
        <is>
          <t>Y</t>
        </is>
      </c>
      <c r="F155" s="18" t="inlineStr">
        <is>
          <t>Dropdown</t>
        </is>
      </c>
      <c r="G155" s="19" t="inlineStr">
        <is>
          <t>Optional</t>
        </is>
      </c>
      <c r="H155" s="8" t="inlineStr"/>
      <c r="I155" s="18" t="inlineStr">
        <is>
          <t>Yes | No</t>
        </is>
      </c>
    </row>
    <row r="156" ht="14" customHeight="1" s="4">
      <c r="A156" s="10" t="inlineStr">
        <is>
          <t>Lease Grid</t>
        </is>
      </c>
      <c r="B156" s="14" t="inlineStr">
        <is>
          <t>Comp N — DB Record ID</t>
        </is>
      </c>
      <c r="C156" s="15" t="inlineStr">
        <is>
          <t>Y</t>
        </is>
      </c>
      <c r="D156" s="16" t="inlineStr"/>
      <c r="E156" s="16" t="inlineStr"/>
      <c r="F156" s="14" t="inlineStr">
        <is>
          <t>Integer</t>
        </is>
      </c>
      <c r="G156" s="17" t="inlineStr">
        <is>
          <t>Required</t>
        </is>
      </c>
      <c r="H156" s="8" t="inlineStr"/>
      <c r="I156" s="14" t="inlineStr">
        <is>
          <t>Auto-populates comp data from database</t>
        </is>
      </c>
    </row>
    <row r="157" ht="14" customHeight="1" s="4">
      <c r="A157" s="7" t="inlineStr">
        <is>
          <t>Lease Grid</t>
        </is>
      </c>
      <c r="B157" s="14" t="inlineStr">
        <is>
          <t>Comp N — Lease Date</t>
        </is>
      </c>
      <c r="C157" s="15" t="inlineStr">
        <is>
          <t>Y</t>
        </is>
      </c>
      <c r="D157" s="16" t="inlineStr"/>
      <c r="E157" s="16" t="inlineStr"/>
      <c r="F157" s="14" t="inlineStr">
        <is>
          <t>Date</t>
        </is>
      </c>
      <c r="G157" s="17" t="inlineStr">
        <is>
          <t>Required</t>
        </is>
      </c>
      <c r="H157" s="8" t="inlineStr"/>
      <c r="I157" s="14" t="inlineStr">
        <is>
          <t>Commencement or execution date</t>
        </is>
      </c>
    </row>
    <row r="158" ht="14" customHeight="1" s="4">
      <c r="A158" s="10" t="inlineStr">
        <is>
          <t>Lease Grid</t>
        </is>
      </c>
      <c r="B158" s="14" t="inlineStr">
        <is>
          <t>Comp N — Lease Term (months)</t>
        </is>
      </c>
      <c r="C158" s="15" t="inlineStr">
        <is>
          <t>Y</t>
        </is>
      </c>
      <c r="D158" s="16" t="inlineStr"/>
      <c r="E158" s="16" t="inlineStr"/>
      <c r="F158" s="14" t="inlineStr">
        <is>
          <t>Integer</t>
        </is>
      </c>
      <c r="G158" s="17" t="inlineStr">
        <is>
          <t>Required</t>
        </is>
      </c>
      <c r="H158" s="8" t="inlineStr"/>
      <c r="I158" s="14" t="inlineStr"/>
    </row>
    <row r="159" ht="14" customHeight="1" s="4">
      <c r="A159" s="7" t="inlineStr">
        <is>
          <t>Lease Grid</t>
        </is>
      </c>
      <c r="B159" s="14" t="inlineStr">
        <is>
          <t>Comp N — Size (SF)</t>
        </is>
      </c>
      <c r="C159" s="15" t="inlineStr">
        <is>
          <t>Y</t>
        </is>
      </c>
      <c r="D159" s="16" t="inlineStr"/>
      <c r="E159" s="16" t="inlineStr"/>
      <c r="F159" s="14" t="inlineStr">
        <is>
          <t>Integer</t>
        </is>
      </c>
      <c r="G159" s="17" t="inlineStr">
        <is>
          <t>Required</t>
        </is>
      </c>
      <c r="H159" s="8" t="inlineStr"/>
      <c r="I159" s="14" t="inlineStr"/>
    </row>
    <row r="160" ht="14" customHeight="1" s="4">
      <c r="A160" s="10" t="inlineStr">
        <is>
          <t>Lease Grid</t>
        </is>
      </c>
      <c r="B160" s="14" t="inlineStr">
        <is>
          <t>Comp N — Base Rent</t>
        </is>
      </c>
      <c r="C160" s="15" t="inlineStr">
        <is>
          <t>Y</t>
        </is>
      </c>
      <c r="D160" s="16" t="inlineStr"/>
      <c r="E160" s="16" t="inlineStr"/>
      <c r="F160" s="14" t="inlineStr">
        <is>
          <t>Currency</t>
        </is>
      </c>
      <c r="G160" s="17" t="inlineStr">
        <is>
          <t>Required</t>
        </is>
      </c>
      <c r="H160" s="8" t="inlineStr"/>
      <c r="I160" s="14" t="inlineStr">
        <is>
          <t>$/SF/Mo or $/Unit/Mo per rental rate method</t>
        </is>
      </c>
    </row>
    <row r="161" ht="14" customHeight="1" s="4">
      <c r="A161" s="7" t="inlineStr">
        <is>
          <t>Lease Grid</t>
        </is>
      </c>
      <c r="B161" s="18" t="inlineStr">
        <is>
          <t>Comp N — Rent Type</t>
        </is>
      </c>
      <c r="C161" s="16" t="inlineStr"/>
      <c r="D161" s="16" t="inlineStr"/>
      <c r="E161" s="15" t="inlineStr">
        <is>
          <t>Y</t>
        </is>
      </c>
      <c r="F161" s="18" t="inlineStr">
        <is>
          <t>Dropdown</t>
        </is>
      </c>
      <c r="G161" s="17" t="inlineStr">
        <is>
          <t>Required</t>
        </is>
      </c>
      <c r="H161" s="8" t="inlineStr"/>
      <c r="I161" s="18" t="inlineStr">
        <is>
          <t>NNN | Gross | Modified Gross | Full Service | Base Year | Other</t>
        </is>
      </c>
    </row>
    <row r="162" ht="14" customHeight="1" s="4">
      <c r="A162" s="10" t="inlineStr">
        <is>
          <t>Lease Grid</t>
        </is>
      </c>
      <c r="B162" s="14" t="inlineStr">
        <is>
          <t>Comp N — Concessions</t>
        </is>
      </c>
      <c r="C162" s="15" t="inlineStr">
        <is>
          <t>Y</t>
        </is>
      </c>
      <c r="D162" s="16" t="inlineStr"/>
      <c r="E162" s="16" t="inlineStr"/>
      <c r="F162" s="14" t="inlineStr">
        <is>
          <t>Text/Currency</t>
        </is>
      </c>
      <c r="G162" s="19" t="inlineStr">
        <is>
          <t>Optional</t>
        </is>
      </c>
      <c r="H162" s="8" t="inlineStr"/>
      <c r="I162" s="14" t="inlineStr">
        <is>
          <t>Free rent months, TI allowance</t>
        </is>
      </c>
    </row>
    <row r="163" ht="14" customHeight="1" s="4">
      <c r="A163" s="7" t="inlineStr">
        <is>
          <t>Lease Grid</t>
        </is>
      </c>
      <c r="B163" s="20" t="inlineStr">
        <is>
          <t>Comp N — Effective Rent</t>
        </is>
      </c>
      <c r="C163" s="16" t="inlineStr"/>
      <c r="D163" s="15" t="inlineStr">
        <is>
          <t>Y</t>
        </is>
      </c>
      <c r="E163" s="16" t="inlineStr"/>
      <c r="F163" s="20" t="inlineStr">
        <is>
          <t>Currency</t>
        </is>
      </c>
      <c r="G163" s="19" t="inlineStr">
        <is>
          <t>Calculated</t>
        </is>
      </c>
      <c r="H163" s="8" t="inlineStr"/>
      <c r="I163" s="20" t="inlineStr">
        <is>
          <t>Base Rent adjusted for concessions</t>
        </is>
      </c>
    </row>
    <row r="164" ht="14" customHeight="1" s="4">
      <c r="A164" s="10" t="inlineStr">
        <is>
          <t>Lease Grid</t>
        </is>
      </c>
      <c r="B164" s="14" t="inlineStr">
        <is>
          <t>Adjustment Rows</t>
        </is>
      </c>
      <c r="C164" s="15" t="inlineStr">
        <is>
          <t>Y</t>
        </is>
      </c>
      <c r="D164" s="16" t="inlineStr"/>
      <c r="E164" s="16" t="inlineStr"/>
      <c r="F164" s="14" t="inlineStr">
        <is>
          <t>Currency / %</t>
        </is>
      </c>
      <c r="G164" s="17" t="inlineStr">
        <is>
          <t>Required</t>
        </is>
      </c>
      <c r="H164" s="8" t="inlineStr"/>
      <c r="I164" s="14" t="inlineStr">
        <is>
          <t>Location, Size, Age, Quality, Amenities, etc.</t>
        </is>
      </c>
    </row>
    <row r="165" ht="14" customHeight="1" s="4">
      <c r="A165" s="7" t="inlineStr">
        <is>
          <t>Market Rent</t>
        </is>
      </c>
      <c r="B165" s="18" t="inlineStr">
        <is>
          <t>Utility N — Cost Burden</t>
        </is>
      </c>
      <c r="C165" s="16" t="inlineStr"/>
      <c r="D165" s="16" t="inlineStr"/>
      <c r="E165" s="15" t="inlineStr">
        <is>
          <t>Y</t>
        </is>
      </c>
      <c r="F165" s="18" t="inlineStr">
        <is>
          <t>Dropdown</t>
        </is>
      </c>
      <c r="G165" s="17" t="inlineStr">
        <is>
          <t>Required</t>
        </is>
      </c>
      <c r="H165" s="8" t="inlineStr"/>
      <c r="I165" s="18" t="inlineStr">
        <is>
          <t>Tenant Paid Directly | Owner Paid | Tenant Reimburses — for each of 10 utilities</t>
        </is>
      </c>
    </row>
    <row r="166" ht="14" customHeight="1" s="4">
      <c r="A166" s="10" t="inlineStr">
        <is>
          <t>Market Rent</t>
        </is>
      </c>
      <c r="B166" s="20" t="inlineStr">
        <is>
          <t>N1_chtRentUtilitiesCostBurden</t>
        </is>
      </c>
      <c r="C166" s="16" t="inlineStr"/>
      <c r="D166" s="15" t="inlineStr">
        <is>
          <t>Y</t>
        </is>
      </c>
      <c r="E166" s="16" t="inlineStr"/>
      <c r="F166" s="20" t="inlineStr">
        <is>
          <t>Text</t>
        </is>
      </c>
      <c r="G166" s="19" t="inlineStr">
        <is>
          <t>Calculated</t>
        </is>
      </c>
      <c r="H166" s="11" t="inlineStr">
        <is>
          <t>N1_chtRentUtilitiesCostBurden</t>
        </is>
      </c>
      <c r="I166" s="20" t="inlineStr">
        <is>
          <t>Named range for report narrative chart</t>
        </is>
      </c>
    </row>
    <row r="167" ht="14" customHeight="1" s="4">
      <c r="A167" s="7" t="inlineStr">
        <is>
          <t>MF Market Rent</t>
        </is>
      </c>
      <c r="B167" s="20" t="inlineStr">
        <is>
          <t>Unit Type</t>
        </is>
      </c>
      <c r="C167" s="16" t="inlineStr"/>
      <c r="D167" s="15" t="inlineStr">
        <is>
          <t>Y</t>
        </is>
      </c>
      <c r="E167" s="16" t="inlineStr"/>
      <c r="F167" s="20" t="inlineStr">
        <is>
          <t>Text</t>
        </is>
      </c>
      <c r="G167" s="19" t="inlineStr">
        <is>
          <t>Calculated</t>
        </is>
      </c>
      <c r="H167" s="8" t="inlineStr"/>
      <c r="I167" s="20" t="inlineStr">
        <is>
          <t>From Rent Roll Config via Rent Roll Master</t>
        </is>
      </c>
    </row>
    <row r="168" ht="14" customHeight="1" s="4">
      <c r="A168" s="10" t="inlineStr">
        <is>
          <t>MF Market Rent</t>
        </is>
      </c>
      <c r="B168" s="14" t="inlineStr">
        <is>
          <t># of Units</t>
        </is>
      </c>
      <c r="C168" s="15" t="inlineStr">
        <is>
          <t>Y</t>
        </is>
      </c>
      <c r="D168" s="16" t="inlineStr"/>
      <c r="E168" s="16" t="inlineStr"/>
      <c r="F168" s="14" t="inlineStr">
        <is>
          <t>Integer</t>
        </is>
      </c>
      <c r="G168" s="17" t="inlineStr">
        <is>
          <t>Required</t>
        </is>
      </c>
      <c r="H168" s="8" t="inlineStr"/>
      <c r="I168" s="14" t="inlineStr">
        <is>
          <t>Count per unit type</t>
        </is>
      </c>
    </row>
    <row r="169" ht="14" customHeight="1" s="4">
      <c r="A169" s="7" t="inlineStr">
        <is>
          <t>MF Market Rent</t>
        </is>
      </c>
      <c r="B169" s="14" t="inlineStr">
        <is>
          <t>Avg. Size (SF)</t>
        </is>
      </c>
      <c r="C169" s="15" t="inlineStr">
        <is>
          <t>Y</t>
        </is>
      </c>
      <c r="D169" s="16" t="inlineStr"/>
      <c r="E169" s="16" t="inlineStr"/>
      <c r="F169" s="14" t="inlineStr">
        <is>
          <t>Decimal</t>
        </is>
      </c>
      <c r="G169" s="17" t="inlineStr">
        <is>
          <t>Required</t>
        </is>
      </c>
      <c r="H169" s="8" t="inlineStr"/>
      <c r="I169" s="14" t="inlineStr">
        <is>
          <t>Average unit size per type</t>
        </is>
      </c>
    </row>
    <row r="170" ht="14" customHeight="1" s="4">
      <c r="A170" s="10" t="inlineStr">
        <is>
          <t>MF Market Rent</t>
        </is>
      </c>
      <c r="B170" s="20" t="inlineStr">
        <is>
          <t>Rentable Area (SF)</t>
        </is>
      </c>
      <c r="C170" s="16" t="inlineStr"/>
      <c r="D170" s="15" t="inlineStr">
        <is>
          <t>Y</t>
        </is>
      </c>
      <c r="E170" s="16" t="inlineStr"/>
      <c r="F170" s="20" t="inlineStr">
        <is>
          <t>Integer</t>
        </is>
      </c>
      <c r="G170" s="19" t="inlineStr">
        <is>
          <t>Calculated</t>
        </is>
      </c>
      <c r="H170" s="8" t="inlineStr"/>
      <c r="I170" s="20" t="inlineStr">
        <is>
          <t># Units × Avg SF</t>
        </is>
      </c>
    </row>
    <row r="171" ht="14" customHeight="1" s="4">
      <c r="A171" s="7" t="inlineStr">
        <is>
          <t>MF Market Rent</t>
        </is>
      </c>
      <c r="B171" s="20" t="inlineStr">
        <is>
          <t>Occupancy (Leased/Model/Employee/Vacant)</t>
        </is>
      </c>
      <c r="C171" s="16" t="inlineStr"/>
      <c r="D171" s="15" t="inlineStr">
        <is>
          <t>Y</t>
        </is>
      </c>
      <c r="E171" s="16" t="inlineStr"/>
      <c r="F171" s="20" t="inlineStr">
        <is>
          <t>Integer</t>
        </is>
      </c>
      <c r="G171" s="19" t="inlineStr">
        <is>
          <t>Calculated</t>
        </is>
      </c>
      <c r="H171" s="8" t="inlineStr"/>
      <c r="I171" s="20" t="inlineStr">
        <is>
          <t>From Rent Roll Master</t>
        </is>
      </c>
    </row>
    <row r="172" ht="14" customHeight="1" s="4">
      <c r="A172" s="10" t="inlineStr">
        <is>
          <t>MF Market Rent</t>
        </is>
      </c>
      <c r="B172" s="20" t="inlineStr">
        <is>
          <t>% Units Vacant</t>
        </is>
      </c>
      <c r="C172" s="16" t="inlineStr"/>
      <c r="D172" s="15" t="inlineStr">
        <is>
          <t>Y</t>
        </is>
      </c>
      <c r="E172" s="16" t="inlineStr"/>
      <c r="F172" s="20" t="inlineStr">
        <is>
          <t>Percentage</t>
        </is>
      </c>
      <c r="G172" s="19" t="inlineStr">
        <is>
          <t>Calculated</t>
        </is>
      </c>
      <c r="H172" s="8" t="inlineStr"/>
      <c r="I172" s="20" t="inlineStr">
        <is>
          <t>Vacant ÷ Total Units</t>
        </is>
      </c>
    </row>
    <row r="173" ht="14" customHeight="1" s="4">
      <c r="A173" s="7" t="inlineStr">
        <is>
          <t>MF Market Rent</t>
        </is>
      </c>
      <c r="B173" s="14" t="inlineStr">
        <is>
          <t>Asking Rent ($/Unit/Mo)</t>
        </is>
      </c>
      <c r="C173" s="15" t="inlineStr">
        <is>
          <t>Y</t>
        </is>
      </c>
      <c r="D173" s="16" t="inlineStr"/>
      <c r="E173" s="16" t="inlineStr"/>
      <c r="F173" s="14" t="inlineStr">
        <is>
          <t>Currency</t>
        </is>
      </c>
      <c r="G173" s="17" t="inlineStr">
        <is>
          <t>Required</t>
        </is>
      </c>
      <c r="H173" s="8" t="inlineStr"/>
      <c r="I173" s="14" t="inlineStr">
        <is>
          <t>Appraiser market rent conclusion per unit type</t>
        </is>
      </c>
    </row>
    <row r="174" ht="14" customHeight="1" s="4">
      <c r="A174" s="10" t="inlineStr">
        <is>
          <t>MF Market Rent</t>
        </is>
      </c>
      <c r="B174" s="20" t="inlineStr">
        <is>
          <t>Total Asking</t>
        </is>
      </c>
      <c r="C174" s="16" t="inlineStr"/>
      <c r="D174" s="15" t="inlineStr">
        <is>
          <t>Y</t>
        </is>
      </c>
      <c r="E174" s="16" t="inlineStr"/>
      <c r="F174" s="20" t="inlineStr">
        <is>
          <t>Currency</t>
        </is>
      </c>
      <c r="G174" s="19" t="inlineStr">
        <is>
          <t>Calculated</t>
        </is>
      </c>
      <c r="H174" s="8" t="inlineStr"/>
      <c r="I174" s="20" t="inlineStr">
        <is>
          <t>Asking Rent × # Units</t>
        </is>
      </c>
    </row>
    <row r="175" ht="14" customHeight="1" s="4">
      <c r="A175" s="7" t="inlineStr">
        <is>
          <t>MF Market Rent</t>
        </is>
      </c>
      <c r="B175" s="14" t="inlineStr">
        <is>
          <t>Contract Rent ($/Unit/Mo)</t>
        </is>
      </c>
      <c r="C175" s="15" t="inlineStr">
        <is>
          <t>Y</t>
        </is>
      </c>
      <c r="D175" s="16" t="inlineStr"/>
      <c r="E175" s="16" t="inlineStr"/>
      <c r="F175" s="14" t="inlineStr">
        <is>
          <t>Currency</t>
        </is>
      </c>
      <c r="G175" s="17" t="inlineStr">
        <is>
          <t>Required</t>
        </is>
      </c>
      <c r="H175" s="8" t="inlineStr"/>
      <c r="I175" s="14" t="inlineStr">
        <is>
          <t>In-place average contract rent</t>
        </is>
      </c>
    </row>
    <row r="176" ht="14" customHeight="1" s="4">
      <c r="A176" s="10" t="inlineStr">
        <is>
          <t>MF Market Rent</t>
        </is>
      </c>
      <c r="B176" s="20" t="inlineStr">
        <is>
          <t>Total Contract</t>
        </is>
      </c>
      <c r="C176" s="16" t="inlineStr"/>
      <c r="D176" s="15" t="inlineStr">
        <is>
          <t>Y</t>
        </is>
      </c>
      <c r="E176" s="16" t="inlineStr"/>
      <c r="F176" s="20" t="inlineStr">
        <is>
          <t>Currency</t>
        </is>
      </c>
      <c r="G176" s="19" t="inlineStr">
        <is>
          <t>Calculated</t>
        </is>
      </c>
      <c r="H176" s="8" t="inlineStr"/>
      <c r="I176" s="20" t="inlineStr">
        <is>
          <t>Contract Rent × # Units</t>
        </is>
      </c>
    </row>
    <row r="177" ht="14" customHeight="1" s="4">
      <c r="A177" s="7" t="inlineStr">
        <is>
          <t>MF Market Rent</t>
        </is>
      </c>
      <c r="B177" s="20" t="inlineStr">
        <is>
          <t>Avg. PSF — Asking</t>
        </is>
      </c>
      <c r="C177" s="16" t="inlineStr"/>
      <c r="D177" s="15" t="inlineStr">
        <is>
          <t>Y</t>
        </is>
      </c>
      <c r="E177" s="16" t="inlineStr"/>
      <c r="F177" s="20" t="inlineStr">
        <is>
          <t>Currency</t>
        </is>
      </c>
      <c r="G177" s="19" t="inlineStr">
        <is>
          <t>Calculated</t>
        </is>
      </c>
      <c r="H177" s="8" t="inlineStr"/>
      <c r="I177" s="20" t="inlineStr">
        <is>
          <t>Asking Rent ÷ Avg SF</t>
        </is>
      </c>
    </row>
    <row r="178" ht="14" customHeight="1" s="4">
      <c r="A178" s="10" t="inlineStr">
        <is>
          <t>MF Market Rent</t>
        </is>
      </c>
      <c r="B178" s="20" t="inlineStr">
        <is>
          <t>Pro Forma EGI</t>
        </is>
      </c>
      <c r="C178" s="16" t="inlineStr"/>
      <c r="D178" s="15" t="inlineStr">
        <is>
          <t>Y</t>
        </is>
      </c>
      <c r="E178" s="16" t="inlineStr"/>
      <c r="F178" s="20" t="inlineStr">
        <is>
          <t>Currency</t>
        </is>
      </c>
      <c r="G178" s="19" t="inlineStr">
        <is>
          <t>Calculated</t>
        </is>
      </c>
      <c r="H178" s="8" t="inlineStr"/>
      <c r="I178" s="20" t="inlineStr">
        <is>
          <t>Feeds → MF Lease Up</t>
        </is>
      </c>
    </row>
    <row r="179" ht="14" customHeight="1" s="4">
      <c r="A179" s="7" t="inlineStr">
        <is>
          <t>Capitalization and Multipliers</t>
        </is>
      </c>
      <c r="B179" s="18" t="inlineStr">
        <is>
          <t>PGI Source</t>
        </is>
      </c>
      <c r="C179" s="16" t="inlineStr"/>
      <c r="D179" s="16" t="inlineStr"/>
      <c r="E179" s="15" t="inlineStr">
        <is>
          <t>Y</t>
        </is>
      </c>
      <c r="F179" s="18" t="inlineStr">
        <is>
          <t>Dropdown</t>
        </is>
      </c>
      <c r="G179" s="17" t="inlineStr">
        <is>
          <t>Required</t>
        </is>
      </c>
      <c r="H179" s="8" t="inlineStr"/>
      <c r="I179" s="18" t="inlineStr">
        <is>
          <t>Rent Roll | Manual Entry</t>
        </is>
      </c>
    </row>
    <row r="180" ht="14" customHeight="1" s="4">
      <c r="A180" s="10" t="inlineStr">
        <is>
          <t>Capitalization and Multipliers</t>
        </is>
      </c>
      <c r="B180" s="18" t="inlineStr">
        <is>
          <t>Type of PGI</t>
        </is>
      </c>
      <c r="C180" s="16" t="inlineStr"/>
      <c r="D180" s="16" t="inlineStr"/>
      <c r="E180" s="15" t="inlineStr">
        <is>
          <t>Y</t>
        </is>
      </c>
      <c r="F180" s="18" t="inlineStr">
        <is>
          <t>Dropdown</t>
        </is>
      </c>
      <c r="G180" s="17" t="inlineStr">
        <is>
          <t>Required</t>
        </is>
      </c>
      <c r="H180" s="8" t="inlineStr"/>
      <c r="I180" s="18" t="inlineStr">
        <is>
          <t>Contract &amp; Market | Market Only | Contract Only</t>
        </is>
      </c>
    </row>
    <row r="181" ht="14" customHeight="1" s="4">
      <c r="A181" s="7" t="inlineStr">
        <is>
          <t>Capitalization and Multipliers</t>
        </is>
      </c>
      <c r="B181" s="14" t="inlineStr">
        <is>
          <t>Total Rental Income</t>
        </is>
      </c>
      <c r="C181" s="15" t="inlineStr">
        <is>
          <t>Y</t>
        </is>
      </c>
      <c r="D181" s="16" t="inlineStr"/>
      <c r="E181" s="16" t="inlineStr"/>
      <c r="F181" s="14" t="inlineStr">
        <is>
          <t>Currency</t>
        </is>
      </c>
      <c r="G181" s="17" t="inlineStr">
        <is>
          <t>Required</t>
        </is>
      </c>
      <c r="H181" s="8" t="inlineStr"/>
      <c r="I181" s="14" t="inlineStr">
        <is>
          <t>Primary income line — can be DB-imported</t>
        </is>
      </c>
    </row>
    <row r="182" ht="14" customHeight="1" s="4">
      <c r="A182" s="10" t="inlineStr">
        <is>
          <t>Capitalization and Multipliers</t>
        </is>
      </c>
      <c r="B182" s="20" t="inlineStr">
        <is>
          <t>Potential Gross Income (PGI)</t>
        </is>
      </c>
      <c r="C182" s="16" t="inlineStr"/>
      <c r="D182" s="15" t="inlineStr">
        <is>
          <t>Y</t>
        </is>
      </c>
      <c r="E182" s="16" t="inlineStr"/>
      <c r="F182" s="20" t="inlineStr">
        <is>
          <t>Currency</t>
        </is>
      </c>
      <c r="G182" s="19" t="inlineStr">
        <is>
          <t>Calculated</t>
        </is>
      </c>
      <c r="H182" s="8" t="inlineStr"/>
      <c r="I182" s="20" t="inlineStr">
        <is>
          <t>Sum of all income lines</t>
        </is>
      </c>
    </row>
    <row r="183" ht="14" customHeight="1" s="4">
      <c r="A183" s="7" t="inlineStr">
        <is>
          <t>Capitalization and Multipliers</t>
        </is>
      </c>
      <c r="B183" s="14" t="inlineStr">
        <is>
          <t>Vacancy &amp; Credit Loss %</t>
        </is>
      </c>
      <c r="C183" s="15" t="inlineStr">
        <is>
          <t>Y</t>
        </is>
      </c>
      <c r="D183" s="16" t="inlineStr"/>
      <c r="E183" s="16" t="inlineStr"/>
      <c r="F183" s="14" t="inlineStr">
        <is>
          <t>Percentage</t>
        </is>
      </c>
      <c r="G183" s="17" t="inlineStr">
        <is>
          <t>Required</t>
        </is>
      </c>
      <c r="H183" s="8" t="inlineStr"/>
      <c r="I183" s="14" t="inlineStr">
        <is>
          <t>V&amp;CL assumption</t>
        </is>
      </c>
    </row>
    <row r="184" ht="14" customHeight="1" s="4">
      <c r="A184" s="10" t="inlineStr">
        <is>
          <t>Capitalization and Multipliers</t>
        </is>
      </c>
      <c r="B184" s="20" t="inlineStr">
        <is>
          <t>Vacancy &amp; Credit Loss $</t>
        </is>
      </c>
      <c r="C184" s="16" t="inlineStr"/>
      <c r="D184" s="15" t="inlineStr">
        <is>
          <t>Y</t>
        </is>
      </c>
      <c r="E184" s="16" t="inlineStr"/>
      <c r="F184" s="20" t="inlineStr">
        <is>
          <t>Currency</t>
        </is>
      </c>
      <c r="G184" s="19" t="inlineStr">
        <is>
          <t>Calculated</t>
        </is>
      </c>
      <c r="H184" s="8" t="inlineStr"/>
      <c r="I184" s="20" t="inlineStr">
        <is>
          <t>PGI × V&amp;CL %</t>
        </is>
      </c>
    </row>
    <row r="185" ht="14" customHeight="1" s="4">
      <c r="A185" s="7" t="inlineStr">
        <is>
          <t>Capitalization and Multipliers</t>
        </is>
      </c>
      <c r="B185" s="20" t="inlineStr">
        <is>
          <t>Effective Gross Income (EGI)</t>
        </is>
      </c>
      <c r="C185" s="16" t="inlineStr"/>
      <c r="D185" s="15" t="inlineStr">
        <is>
          <t>Y</t>
        </is>
      </c>
      <c r="E185" s="16" t="inlineStr"/>
      <c r="F185" s="20" t="inlineStr">
        <is>
          <t>Currency</t>
        </is>
      </c>
      <c r="G185" s="19" t="inlineStr">
        <is>
          <t>Calculated</t>
        </is>
      </c>
      <c r="H185" s="8" t="inlineStr"/>
      <c r="I185" s="20" t="inlineStr">
        <is>
          <t>PGI − V&amp;CL</t>
        </is>
      </c>
    </row>
    <row r="186" ht="14" customHeight="1" s="4">
      <c r="A186" s="10" t="inlineStr">
        <is>
          <t>Capitalization and Multipliers</t>
        </is>
      </c>
      <c r="B186" s="14" t="inlineStr">
        <is>
          <t>Management Fee</t>
        </is>
      </c>
      <c r="C186" s="15" t="inlineStr">
        <is>
          <t>Y</t>
        </is>
      </c>
      <c r="D186" s="16" t="inlineStr"/>
      <c r="E186" s="16" t="inlineStr"/>
      <c r="F186" s="14" t="inlineStr">
        <is>
          <t>Currency / %</t>
        </is>
      </c>
      <c r="G186" s="17" t="inlineStr">
        <is>
          <t>Required</t>
        </is>
      </c>
      <c r="H186" s="8" t="inlineStr"/>
      <c r="I186" s="14" t="inlineStr">
        <is>
          <t>% of EGI or dollar amount</t>
        </is>
      </c>
    </row>
    <row r="187" ht="14" customHeight="1" s="4">
      <c r="A187" s="7" t="inlineStr">
        <is>
          <t>Capitalization and Multipliers</t>
        </is>
      </c>
      <c r="B187" s="20" t="inlineStr">
        <is>
          <t>Real Estate Taxes</t>
        </is>
      </c>
      <c r="C187" s="16" t="inlineStr"/>
      <c r="D187" s="15" t="inlineStr">
        <is>
          <t>Y</t>
        </is>
      </c>
      <c r="E187" s="16" t="inlineStr"/>
      <c r="F187" s="20" t="inlineStr">
        <is>
          <t>Currency</t>
        </is>
      </c>
      <c r="G187" s="19" t="inlineStr">
        <is>
          <t>Calculated</t>
        </is>
      </c>
      <c r="H187" s="8" t="inlineStr"/>
      <c r="I187" s="20" t="inlineStr">
        <is>
          <t>Auto-populated from Assessment tab annual taxes</t>
        </is>
      </c>
    </row>
    <row r="188" ht="14" customHeight="1" s="4">
      <c r="A188" s="10" t="inlineStr">
        <is>
          <t>Capitalization and Multipliers</t>
        </is>
      </c>
      <c r="B188" s="14" t="inlineStr">
        <is>
          <t>Insurance</t>
        </is>
      </c>
      <c r="C188" s="15" t="inlineStr">
        <is>
          <t>Y</t>
        </is>
      </c>
      <c r="D188" s="16" t="inlineStr"/>
      <c r="E188" s="16" t="inlineStr"/>
      <c r="F188" s="14" t="inlineStr">
        <is>
          <t>Currency</t>
        </is>
      </c>
      <c r="G188" s="17" t="inlineStr">
        <is>
          <t>Required</t>
        </is>
      </c>
      <c r="H188" s="8" t="inlineStr"/>
      <c r="I188" s="14" t="inlineStr">
        <is>
          <t>Annual insurance expense</t>
        </is>
      </c>
    </row>
    <row r="189" ht="14" customHeight="1" s="4">
      <c r="A189" s="7" t="inlineStr">
        <is>
          <t>Capitalization and Multipliers</t>
        </is>
      </c>
      <c r="B189" s="14" t="inlineStr">
        <is>
          <t>Repairs &amp; Maintenance</t>
        </is>
      </c>
      <c r="C189" s="15" t="inlineStr">
        <is>
          <t>Y</t>
        </is>
      </c>
      <c r="D189" s="16" t="inlineStr"/>
      <c r="E189" s="16" t="inlineStr"/>
      <c r="F189" s="14" t="inlineStr">
        <is>
          <t>Currency</t>
        </is>
      </c>
      <c r="G189" s="17" t="inlineStr">
        <is>
          <t>Required</t>
        </is>
      </c>
      <c r="H189" s="8" t="inlineStr"/>
      <c r="I189" s="14" t="inlineStr"/>
    </row>
    <row r="190" ht="14" customHeight="1" s="4">
      <c r="A190" s="10" t="inlineStr">
        <is>
          <t>Capitalization and Multipliers</t>
        </is>
      </c>
      <c r="B190" s="14" t="inlineStr">
        <is>
          <t>Reserves for Replacement</t>
        </is>
      </c>
      <c r="C190" s="15" t="inlineStr">
        <is>
          <t>Y</t>
        </is>
      </c>
      <c r="D190" s="16" t="inlineStr"/>
      <c r="E190" s="16" t="inlineStr"/>
      <c r="F190" s="14" t="inlineStr">
        <is>
          <t>Currency</t>
        </is>
      </c>
      <c r="G190" s="17" t="inlineStr">
        <is>
          <t>Required</t>
        </is>
      </c>
      <c r="H190" s="8" t="inlineStr"/>
      <c r="I190" s="14" t="inlineStr">
        <is>
          <t>CapEx reserve</t>
        </is>
      </c>
    </row>
    <row r="191" ht="14" customHeight="1" s="4">
      <c r="A191" s="7" t="inlineStr">
        <is>
          <t>Capitalization and Multipliers</t>
        </is>
      </c>
      <c r="B191" s="20" t="inlineStr">
        <is>
          <t>Total Operating Expenses</t>
        </is>
      </c>
      <c r="C191" s="16" t="inlineStr"/>
      <c r="D191" s="15" t="inlineStr">
        <is>
          <t>Y</t>
        </is>
      </c>
      <c r="E191" s="16" t="inlineStr"/>
      <c r="F191" s="20" t="inlineStr">
        <is>
          <t>Currency</t>
        </is>
      </c>
      <c r="G191" s="19" t="inlineStr">
        <is>
          <t>Calculated</t>
        </is>
      </c>
      <c r="H191" s="8" t="inlineStr"/>
      <c r="I191" s="20" t="inlineStr">
        <is>
          <t>Sum of all OpEx categories</t>
        </is>
      </c>
    </row>
    <row r="192" ht="14" customHeight="1" s="4">
      <c r="A192" s="10" t="inlineStr">
        <is>
          <t>Capitalization and Multipliers</t>
        </is>
      </c>
      <c r="B192" s="20" t="inlineStr">
        <is>
          <t>Net Operating Income (NOI)</t>
        </is>
      </c>
      <c r="C192" s="16" t="inlineStr"/>
      <c r="D192" s="15" t="inlineStr">
        <is>
          <t>Y</t>
        </is>
      </c>
      <c r="E192" s="16" t="inlineStr"/>
      <c r="F192" s="20" t="inlineStr">
        <is>
          <t>Currency</t>
        </is>
      </c>
      <c r="G192" s="19" t="inlineStr">
        <is>
          <t>Calculated</t>
        </is>
      </c>
      <c r="H192" s="8" t="inlineStr"/>
      <c r="I192" s="20" t="inlineStr">
        <is>
          <t>EGI − Total OpEx → feeds DirectCapConclusion</t>
        </is>
      </c>
    </row>
    <row r="193" ht="14" customHeight="1" s="4">
      <c r="A193" s="7" t="inlineStr">
        <is>
          <t>Capitalization and Multipliers</t>
        </is>
      </c>
      <c r="B193" s="14" t="inlineStr">
        <is>
          <t>Selected Cap Rate</t>
        </is>
      </c>
      <c r="C193" s="15" t="inlineStr">
        <is>
          <t>Y</t>
        </is>
      </c>
      <c r="D193" s="16" t="inlineStr"/>
      <c r="E193" s="16" t="inlineStr"/>
      <c r="F193" s="14" t="inlineStr">
        <is>
          <t>Percentage</t>
        </is>
      </c>
      <c r="G193" s="17" t="inlineStr">
        <is>
          <t>Required</t>
        </is>
      </c>
      <c r="H193" s="8" t="inlineStr"/>
      <c r="I193" s="14" t="inlineStr">
        <is>
          <t>Appraiser-selected overall cap rate</t>
        </is>
      </c>
    </row>
    <row r="194" ht="14" customHeight="1" s="4">
      <c r="A194" s="10" t="inlineStr">
        <is>
          <t>Capitalization and Multipliers</t>
        </is>
      </c>
      <c r="B194" s="20" t="inlineStr">
        <is>
          <t>Indicated Value via Direct Cap</t>
        </is>
      </c>
      <c r="C194" s="16" t="inlineStr"/>
      <c r="D194" s="15" t="inlineStr">
        <is>
          <t>Y</t>
        </is>
      </c>
      <c r="E194" s="16" t="inlineStr"/>
      <c r="F194" s="20" t="inlineStr">
        <is>
          <t>Currency</t>
        </is>
      </c>
      <c r="G194" s="19" t="inlineStr">
        <is>
          <t>Calculated</t>
        </is>
      </c>
      <c r="H194" s="11" t="inlineStr">
        <is>
          <t>N1DirCapValue</t>
        </is>
      </c>
      <c r="I194" s="20" t="inlineStr">
        <is>
          <t>NOI ÷ Cap Rate. @Spell() converts to words.</t>
        </is>
      </c>
    </row>
    <row r="195" ht="14" customHeight="1" s="4">
      <c r="A195" s="7" t="inlineStr">
        <is>
          <t>Investor Survey Output</t>
        </is>
      </c>
      <c r="B195" s="18" t="inlineStr">
        <is>
          <t>Property Type (selector)</t>
        </is>
      </c>
      <c r="C195" s="16" t="inlineStr"/>
      <c r="D195" s="16" t="inlineStr"/>
      <c r="E195" s="15" t="inlineStr">
        <is>
          <t>Y</t>
        </is>
      </c>
      <c r="F195" s="18" t="inlineStr">
        <is>
          <t>Dropdown</t>
        </is>
      </c>
      <c r="G195" s="17" t="inlineStr">
        <is>
          <t>Required</t>
        </is>
      </c>
      <c r="H195" s="11" t="inlineStr">
        <is>
          <t>pvaAPI_InvestorSurvey_PropType</t>
        </is>
      </c>
      <c r="I195" s="18" t="inlineStr">
        <is>
          <t>Multi-Family|All | Office|All | Retail-Commercial|All | etc.</t>
        </is>
      </c>
    </row>
    <row r="196" ht="14" customHeight="1" s="4">
      <c r="A196" s="10" t="inlineStr">
        <is>
          <t>Investor Survey Output</t>
        </is>
      </c>
      <c r="B196" s="18" t="inlineStr">
        <is>
          <t>MSA (selector)</t>
        </is>
      </c>
      <c r="C196" s="16" t="inlineStr"/>
      <c r="D196" s="16" t="inlineStr"/>
      <c r="E196" s="15" t="inlineStr">
        <is>
          <t>Y</t>
        </is>
      </c>
      <c r="F196" s="18" t="inlineStr">
        <is>
          <t>Dropdown</t>
        </is>
      </c>
      <c r="G196" s="17" t="inlineStr">
        <is>
          <t>Required</t>
        </is>
      </c>
      <c r="H196" s="11" t="inlineStr">
        <is>
          <t>pvaAPI_InvestorSurvey_MSA</t>
        </is>
      </c>
      <c r="I196" s="18" t="inlineStr">
        <is>
          <t>Auto-populated from pvaCbsaId via tblPwC_MSA</t>
        </is>
      </c>
    </row>
    <row r="197" ht="14" customHeight="1" s="4">
      <c r="A197" s="7" t="inlineStr">
        <is>
          <t>Investor Survey Output</t>
        </is>
      </c>
      <c r="B197" s="18" t="inlineStr">
        <is>
          <t>Period End (selector)</t>
        </is>
      </c>
      <c r="C197" s="16" t="inlineStr"/>
      <c r="D197" s="16" t="inlineStr"/>
      <c r="E197" s="15" t="inlineStr">
        <is>
          <t>Y</t>
        </is>
      </c>
      <c r="F197" s="18" t="inlineStr">
        <is>
          <t>Dropdown</t>
        </is>
      </c>
      <c r="G197" s="17" t="inlineStr">
        <is>
          <t>Required</t>
        </is>
      </c>
      <c r="H197" s="11" t="inlineStr">
        <is>
          <t>pvaAPI_InvestorSurvey_PeriodEnd</t>
        </is>
      </c>
      <c r="I197" s="18" t="inlineStr">
        <is>
          <t>Auto-calc: LET(TODAY()-45…) → current quarter</t>
        </is>
      </c>
    </row>
    <row r="198" ht="14" customHeight="1" s="4">
      <c r="A198" s="10" t="inlineStr">
        <is>
          <t>Investor Survey Output</t>
        </is>
      </c>
      <c r="B198" s="18" t="inlineStr">
        <is>
          <t>Geographies (selector)</t>
        </is>
      </c>
      <c r="C198" s="16" t="inlineStr"/>
      <c r="D198" s="16" t="inlineStr"/>
      <c r="E198" s="15" t="inlineStr">
        <is>
          <t>Y</t>
        </is>
      </c>
      <c r="F198" s="18" t="inlineStr">
        <is>
          <t>Dropdown</t>
        </is>
      </c>
      <c r="G198" s="17" t="inlineStr">
        <is>
          <t>Required</t>
        </is>
      </c>
      <c r="H198" s="11" t="inlineStr">
        <is>
          <t>pvaAPI_InvestorSurvey_Geographies</t>
        </is>
      </c>
      <c r="I198" s="18" t="inlineStr">
        <is>
          <t>National, Regional, Market | National, Regional | National Only | etc.</t>
        </is>
      </c>
    </row>
    <row r="199" ht="14" customHeight="1" s="4">
      <c r="A199" s="7" t="inlineStr">
        <is>
          <t>Investor Survey Output</t>
        </is>
      </c>
      <c r="B199" s="20" t="inlineStr">
        <is>
          <t>Cap Rate Range (Low/High/Avg)</t>
        </is>
      </c>
      <c r="C199" s="16" t="inlineStr"/>
      <c r="D199" s="15" t="inlineStr">
        <is>
          <t>Y</t>
        </is>
      </c>
      <c r="E199" s="16" t="inlineStr"/>
      <c r="F199" s="20" t="inlineStr">
        <is>
          <t>Percentage</t>
        </is>
      </c>
      <c r="G199" s="19" t="inlineStr">
        <is>
          <t>Calculated</t>
        </is>
      </c>
      <c r="H199" s="8" t="inlineStr"/>
      <c r="I199" s="20" t="inlineStr">
        <is>
          <t>From MarketSurvey API — RERC, PwC, Nareit, NCREIF</t>
        </is>
      </c>
    </row>
    <row r="200" ht="14" customHeight="1" s="4">
      <c r="A200" s="10" t="inlineStr">
        <is>
          <t>Investor Survey Output</t>
        </is>
      </c>
      <c r="B200" s="20" t="inlineStr">
        <is>
          <t>Terminal Cap Rate Range</t>
        </is>
      </c>
      <c r="C200" s="16" t="inlineStr"/>
      <c r="D200" s="15" t="inlineStr">
        <is>
          <t>Y</t>
        </is>
      </c>
      <c r="E200" s="16" t="inlineStr"/>
      <c r="F200" s="20" t="inlineStr">
        <is>
          <t>Percentage</t>
        </is>
      </c>
      <c r="G200" s="19" t="inlineStr">
        <is>
          <t>Calculated</t>
        </is>
      </c>
      <c r="H200" s="8" t="inlineStr"/>
      <c r="I200" s="20" t="inlineStr">
        <is>
          <t>Exit cap rate data from surveys</t>
        </is>
      </c>
    </row>
    <row r="201" ht="14" customHeight="1" s="4">
      <c r="A201" s="7" t="inlineStr">
        <is>
          <t>Investor Survey Output</t>
        </is>
      </c>
      <c r="B201" s="20" t="inlineStr">
        <is>
          <t>Discount Rate / IRR Range</t>
        </is>
      </c>
      <c r="C201" s="16" t="inlineStr"/>
      <c r="D201" s="15" t="inlineStr">
        <is>
          <t>Y</t>
        </is>
      </c>
      <c r="E201" s="16" t="inlineStr"/>
      <c r="F201" s="20" t="inlineStr">
        <is>
          <t>Percentage</t>
        </is>
      </c>
      <c r="G201" s="19" t="inlineStr">
        <is>
          <t>Calculated</t>
        </is>
      </c>
      <c r="H201" s="8" t="inlineStr"/>
      <c r="I201" s="20" t="inlineStr">
        <is>
          <t>DCF rate from surveys</t>
        </is>
      </c>
    </row>
    <row r="202" ht="14" customHeight="1" s="4">
      <c r="A202" s="10" t="inlineStr">
        <is>
          <t>MF Lease Up</t>
        </is>
      </c>
      <c r="B202" s="14" t="inlineStr">
        <is>
          <t>Starting Physical Occupancy</t>
        </is>
      </c>
      <c r="C202" s="15" t="inlineStr">
        <is>
          <t>Y</t>
        </is>
      </c>
      <c r="D202" s="16" t="inlineStr"/>
      <c r="E202" s="16" t="inlineStr"/>
      <c r="F202" s="14" t="inlineStr">
        <is>
          <t>Percentage</t>
        </is>
      </c>
      <c r="G202" s="17" t="inlineStr">
        <is>
          <t>Required</t>
        </is>
      </c>
      <c r="H202" s="8" t="inlineStr"/>
      <c r="I202" s="14" t="inlineStr">
        <is>
          <t>Occupancy % at start of absorption period</t>
        </is>
      </c>
    </row>
    <row r="203" ht="14" customHeight="1" s="4">
      <c r="A203" s="7" t="inlineStr">
        <is>
          <t>MF Lease Up</t>
        </is>
      </c>
      <c r="B203" s="14" t="inlineStr">
        <is>
          <t>Total Absorption Period (Months)</t>
        </is>
      </c>
      <c r="C203" s="15" t="inlineStr">
        <is>
          <t>Y</t>
        </is>
      </c>
      <c r="D203" s="16" t="inlineStr"/>
      <c r="E203" s="16" t="inlineStr"/>
      <c r="F203" s="14" t="inlineStr">
        <is>
          <t>Integer</t>
        </is>
      </c>
      <c r="G203" s="17" t="inlineStr">
        <is>
          <t>Required</t>
        </is>
      </c>
      <c r="H203" s="8" t="inlineStr"/>
      <c r="I203" s="14" t="inlineStr">
        <is>
          <t>Months to stabilized occupancy</t>
        </is>
      </c>
    </row>
    <row r="204" ht="14" customHeight="1" s="4">
      <c r="A204" s="10" t="inlineStr">
        <is>
          <t>MF Lease Up</t>
        </is>
      </c>
      <c r="B204" s="14" t="inlineStr">
        <is>
          <t>PV Discount Rate</t>
        </is>
      </c>
      <c r="C204" s="15" t="inlineStr">
        <is>
          <t>Y</t>
        </is>
      </c>
      <c r="D204" s="16" t="inlineStr"/>
      <c r="E204" s="16" t="inlineStr"/>
      <c r="F204" s="14" t="inlineStr">
        <is>
          <t>Percentage</t>
        </is>
      </c>
      <c r="G204" s="17" t="inlineStr">
        <is>
          <t>Required</t>
        </is>
      </c>
      <c r="H204" s="8" t="inlineStr"/>
      <c r="I204" s="14" t="inlineStr">
        <is>
          <t>Discount rate for NOI loss present value</t>
        </is>
      </c>
    </row>
    <row r="205" ht="14" customHeight="1" s="4">
      <c r="A205" s="7" t="inlineStr">
        <is>
          <t>MF Lease Up</t>
        </is>
      </c>
      <c r="B205" s="14" t="inlineStr">
        <is>
          <t>Monthly Forecast % EGI Earned</t>
        </is>
      </c>
      <c r="C205" s="15" t="inlineStr">
        <is>
          <t>Y</t>
        </is>
      </c>
      <c r="D205" s="16" t="inlineStr"/>
      <c r="E205" s="16" t="inlineStr"/>
      <c r="F205" s="14" t="inlineStr">
        <is>
          <t>Percentage</t>
        </is>
      </c>
      <c r="G205" s="17" t="inlineStr">
        <is>
          <t>Required</t>
        </is>
      </c>
      <c r="H205" s="8" t="inlineStr"/>
      <c r="I205" s="14" t="inlineStr">
        <is>
          <t>One row per month of absorption period</t>
        </is>
      </c>
    </row>
    <row r="206" ht="14" customHeight="1" s="4">
      <c r="A206" s="10" t="inlineStr">
        <is>
          <t>MF Lease Up</t>
        </is>
      </c>
      <c r="B206" s="14" t="inlineStr">
        <is>
          <t>Monthly Forecast % Expenses Incurred</t>
        </is>
      </c>
      <c r="C206" s="15" t="inlineStr">
        <is>
          <t>Y</t>
        </is>
      </c>
      <c r="D206" s="16" t="inlineStr"/>
      <c r="E206" s="16" t="inlineStr"/>
      <c r="F206" s="14" t="inlineStr">
        <is>
          <t>Percentage</t>
        </is>
      </c>
      <c r="G206" s="17" t="inlineStr">
        <is>
          <t>Required</t>
        </is>
      </c>
      <c r="H206" s="8" t="inlineStr"/>
      <c r="I206" s="14" t="inlineStr">
        <is>
          <t>One row per month</t>
        </is>
      </c>
    </row>
    <row r="207" ht="14" customHeight="1" s="4">
      <c r="A207" s="7" t="inlineStr">
        <is>
          <t>MF Lease Up</t>
        </is>
      </c>
      <c r="B207" s="20" t="inlineStr">
        <is>
          <t>Forecast EGI (monthly)</t>
        </is>
      </c>
      <c r="C207" s="16" t="inlineStr"/>
      <c r="D207" s="15" t="inlineStr">
        <is>
          <t>Y</t>
        </is>
      </c>
      <c r="E207" s="16" t="inlineStr"/>
      <c r="F207" s="20" t="inlineStr">
        <is>
          <t>Currency</t>
        </is>
      </c>
      <c r="G207" s="19" t="inlineStr">
        <is>
          <t>Calculated</t>
        </is>
      </c>
      <c r="H207" s="8" t="inlineStr"/>
      <c r="I207" s="20" t="inlineStr">
        <is>
          <t>Pro Forma EGI × Forecast %</t>
        </is>
      </c>
    </row>
    <row r="208" ht="14" customHeight="1" s="4">
      <c r="A208" s="10" t="inlineStr">
        <is>
          <t>MF Lease Up</t>
        </is>
      </c>
      <c r="B208" s="20" t="inlineStr">
        <is>
          <t>Forecast NOI (monthly)</t>
        </is>
      </c>
      <c r="C208" s="16" t="inlineStr"/>
      <c r="D208" s="15" t="inlineStr">
        <is>
          <t>Y</t>
        </is>
      </c>
      <c r="E208" s="16" t="inlineStr"/>
      <c r="F208" s="20" t="inlineStr">
        <is>
          <t>Currency</t>
        </is>
      </c>
      <c r="G208" s="19" t="inlineStr">
        <is>
          <t>Calculated</t>
        </is>
      </c>
      <c r="H208" s="8" t="inlineStr"/>
      <c r="I208" s="20" t="inlineStr">
        <is>
          <t>Forecast EGI − Forecast Expenses</t>
        </is>
      </c>
    </row>
    <row r="209" ht="14" customHeight="1" s="4">
      <c r="A209" s="7" t="inlineStr">
        <is>
          <t>MF Lease Up</t>
        </is>
      </c>
      <c r="B209" s="20" t="inlineStr">
        <is>
          <t>NOI Loss (monthly)</t>
        </is>
      </c>
      <c r="C209" s="16" t="inlineStr"/>
      <c r="D209" s="15" t="inlineStr">
        <is>
          <t>Y</t>
        </is>
      </c>
      <c r="E209" s="16" t="inlineStr"/>
      <c r="F209" s="20" t="inlineStr">
        <is>
          <t>Currency</t>
        </is>
      </c>
      <c r="G209" s="19" t="inlineStr">
        <is>
          <t>Calculated</t>
        </is>
      </c>
      <c r="H209" s="8" t="inlineStr"/>
      <c r="I209" s="20" t="inlineStr">
        <is>
          <t>Pro Forma NOI − Forecast NOI</t>
        </is>
      </c>
    </row>
    <row r="210" ht="14" customHeight="1" s="4">
      <c r="A210" s="10" t="inlineStr">
        <is>
          <t>MF Lease Up</t>
        </is>
      </c>
      <c r="B210" s="20" t="inlineStr">
        <is>
          <t>PV of NOI Loss</t>
        </is>
      </c>
      <c r="C210" s="16" t="inlineStr"/>
      <c r="D210" s="15" t="inlineStr">
        <is>
          <t>Y</t>
        </is>
      </c>
      <c r="E210" s="16" t="inlineStr"/>
      <c r="F210" s="20" t="inlineStr">
        <is>
          <t>Currency</t>
        </is>
      </c>
      <c r="G210" s="19" t="inlineStr">
        <is>
          <t>Calculated</t>
        </is>
      </c>
      <c r="H210" s="8" t="inlineStr"/>
      <c r="I210" s="20" t="inlineStr">
        <is>
          <t>PV of NOI loss stream → feeds DirectCapConclusion</t>
        </is>
      </c>
    </row>
    <row r="211" ht="14" customHeight="1" s="4">
      <c r="A211" s="7" t="inlineStr">
        <is>
          <t>DirectCapConclusion</t>
        </is>
      </c>
      <c r="B211" s="14" t="inlineStr">
        <is>
          <t>Risk Factor — Income Characteristics</t>
        </is>
      </c>
      <c r="C211" s="15" t="inlineStr">
        <is>
          <t>Y</t>
        </is>
      </c>
      <c r="D211" s="16" t="inlineStr"/>
      <c r="E211" s="16" t="inlineStr"/>
      <c r="F211" s="14" t="inlineStr">
        <is>
          <t>Text</t>
        </is>
      </c>
      <c r="G211" s="17" t="inlineStr">
        <is>
          <t>Required</t>
        </is>
      </c>
      <c r="H211" s="8" t="inlineStr"/>
      <c r="I211" s="14" t="inlineStr">
        <is>
          <t>Stability, tax reassessment, above/below market rents</t>
        </is>
      </c>
    </row>
    <row r="212" ht="14" customHeight="1" s="4">
      <c r="A212" s="10" t="inlineStr">
        <is>
          <t>DirectCapConclusion</t>
        </is>
      </c>
      <c r="B212" s="14" t="inlineStr">
        <is>
          <t>Risk Factor — Physical Characteristics</t>
        </is>
      </c>
      <c r="C212" s="15" t="inlineStr">
        <is>
          <t>Y</t>
        </is>
      </c>
      <c r="D212" s="16" t="inlineStr"/>
      <c r="E212" s="16" t="inlineStr"/>
      <c r="F212" s="14" t="inlineStr">
        <is>
          <t>Text</t>
        </is>
      </c>
      <c r="G212" s="17" t="inlineStr">
        <is>
          <t>Required</t>
        </is>
      </c>
      <c r="H212" s="8" t="inlineStr"/>
      <c r="I212" s="14" t="inlineStr">
        <is>
          <t>Community quality, condition vs. competitors</t>
        </is>
      </c>
    </row>
    <row r="213" ht="14" customHeight="1" s="4">
      <c r="A213" s="7" t="inlineStr">
        <is>
          <t>DirectCapConclusion</t>
        </is>
      </c>
      <c r="B213" s="14" t="inlineStr">
        <is>
          <t>Risk Factor — Location</t>
        </is>
      </c>
      <c r="C213" s="15" t="inlineStr">
        <is>
          <t>Y</t>
        </is>
      </c>
      <c r="D213" s="16" t="inlineStr"/>
      <c r="E213" s="16" t="inlineStr"/>
      <c r="F213" s="14" t="inlineStr">
        <is>
          <t>Text</t>
        </is>
      </c>
      <c r="G213" s="17" t="inlineStr">
        <is>
          <t>Required</t>
        </is>
      </c>
      <c r="H213" s="8" t="inlineStr"/>
      <c r="I213" s="14" t="inlineStr">
        <is>
          <t>Proximity to jobs, demographics, life cycle</t>
        </is>
      </c>
    </row>
    <row r="214" ht="14" customHeight="1" s="4">
      <c r="A214" s="10" t="inlineStr">
        <is>
          <t>DirectCapConclusion</t>
        </is>
      </c>
      <c r="B214" s="14" t="inlineStr">
        <is>
          <t>Risk Factor — Market</t>
        </is>
      </c>
      <c r="C214" s="15" t="inlineStr">
        <is>
          <t>Y</t>
        </is>
      </c>
      <c r="D214" s="16" t="inlineStr"/>
      <c r="E214" s="16" t="inlineStr"/>
      <c r="F214" s="14" t="inlineStr">
        <is>
          <t>Text</t>
        </is>
      </c>
      <c r="G214" s="17" t="inlineStr">
        <is>
          <t>Required</t>
        </is>
      </c>
      <c r="H214" s="8" t="inlineStr"/>
      <c r="I214" s="14" t="inlineStr">
        <is>
          <t>Rental/occupancy trends, supply risk</t>
        </is>
      </c>
    </row>
    <row r="215" ht="14" customHeight="1" s="4">
      <c r="A215" s="7" t="inlineStr">
        <is>
          <t>DirectCapConclusion</t>
        </is>
      </c>
      <c r="B215" s="14" t="inlineStr">
        <is>
          <t>Risk Factor — HBU</t>
        </is>
      </c>
      <c r="C215" s="15" t="inlineStr">
        <is>
          <t>Y</t>
        </is>
      </c>
      <c r="D215" s="16" t="inlineStr"/>
      <c r="E215" s="16" t="inlineStr"/>
      <c r="F215" s="14" t="inlineStr">
        <is>
          <t>Text</t>
        </is>
      </c>
      <c r="G215" s="17" t="inlineStr">
        <is>
          <t>Required</t>
        </is>
      </c>
      <c r="H215" s="8" t="inlineStr"/>
      <c r="I215" s="14" t="inlineStr">
        <is>
          <t>Casualty risk vs. development upside</t>
        </is>
      </c>
    </row>
    <row r="216" ht="14" customHeight="1" s="4">
      <c r="A216" s="10" t="inlineStr">
        <is>
          <t>DirectCapConclusion</t>
        </is>
      </c>
      <c r="B216" s="14" t="inlineStr">
        <is>
          <t>Risk Factor — Age</t>
        </is>
      </c>
      <c r="C216" s="15" t="inlineStr">
        <is>
          <t>Y</t>
        </is>
      </c>
      <c r="D216" s="16" t="inlineStr"/>
      <c r="E216" s="16" t="inlineStr"/>
      <c r="F216" s="14" t="inlineStr">
        <is>
          <t>Text</t>
        </is>
      </c>
      <c r="G216" s="17" t="inlineStr">
        <is>
          <t>Required</t>
        </is>
      </c>
      <c r="H216" s="8" t="inlineStr"/>
      <c r="I216" s="14" t="inlineStr">
        <is>
          <t>Effective age relative to market</t>
        </is>
      </c>
    </row>
    <row r="217" ht="14" customHeight="1" s="4">
      <c r="A217" s="7" t="inlineStr">
        <is>
          <t>DirectCapConclusion</t>
        </is>
      </c>
      <c r="B217" s="14" t="inlineStr">
        <is>
          <t>Risk Factor — Economic Conditions</t>
        </is>
      </c>
      <c r="C217" s="15" t="inlineStr">
        <is>
          <t>Y</t>
        </is>
      </c>
      <c r="D217" s="16" t="inlineStr"/>
      <c r="E217" s="16" t="inlineStr"/>
      <c r="F217" s="14" t="inlineStr">
        <is>
          <t>Text</t>
        </is>
      </c>
      <c r="G217" s="17" t="inlineStr">
        <is>
          <t>Required</t>
        </is>
      </c>
      <c r="H217" s="8" t="inlineStr"/>
      <c r="I217" s="14" t="inlineStr">
        <is>
          <t>Macro economic trends</t>
        </is>
      </c>
    </row>
    <row r="218" ht="14" customHeight="1" s="4">
      <c r="A218" s="10" t="inlineStr">
        <is>
          <t>DirectCapConclusion</t>
        </is>
      </c>
      <c r="B218" s="18" t="inlineStr">
        <is>
          <t>Rating per Risk Factor</t>
        </is>
      </c>
      <c r="C218" s="16" t="inlineStr"/>
      <c r="D218" s="16" t="inlineStr"/>
      <c r="E218" s="15" t="inlineStr">
        <is>
          <t>Y</t>
        </is>
      </c>
      <c r="F218" s="18" t="inlineStr">
        <is>
          <t>Dropdown</t>
        </is>
      </c>
      <c r="G218" s="17" t="inlineStr">
        <is>
          <t>Required</t>
        </is>
      </c>
      <c r="H218" s="8" t="inlineStr"/>
      <c r="I218" s="18" t="inlineStr">
        <is>
          <t>No Impact | Strong Upward | Upward | Downward | Strong Downward</t>
        </is>
      </c>
    </row>
    <row r="219" ht="14" customHeight="1" s="4">
      <c r="A219" s="7" t="inlineStr">
        <is>
          <t>DirectCapConclusion</t>
        </is>
      </c>
      <c r="B219" s="20" t="inlineStr">
        <is>
          <t>Overall Cap Rate Pressure</t>
        </is>
      </c>
      <c r="C219" s="16" t="inlineStr"/>
      <c r="D219" s="15" t="inlineStr">
        <is>
          <t>Y</t>
        </is>
      </c>
      <c r="E219" s="16" t="inlineStr"/>
      <c r="F219" s="20" t="inlineStr">
        <is>
          <t>Text</t>
        </is>
      </c>
      <c r="G219" s="19" t="inlineStr">
        <is>
          <t>Calculated</t>
        </is>
      </c>
      <c r="H219" s="8" t="inlineStr"/>
      <c r="I219" s="20" t="inlineStr">
        <is>
          <t>Composite of all risk factor ratings</t>
        </is>
      </c>
    </row>
    <row r="220" ht="14" customHeight="1" s="4">
      <c r="A220" s="10" t="inlineStr">
        <is>
          <t>DirectCapConclusion</t>
        </is>
      </c>
      <c r="B220" s="14" t="inlineStr">
        <is>
          <t>Selected Cap Rate</t>
        </is>
      </c>
      <c r="C220" s="15" t="inlineStr">
        <is>
          <t>Y</t>
        </is>
      </c>
      <c r="D220" s="16" t="inlineStr"/>
      <c r="E220" s="16" t="inlineStr"/>
      <c r="F220" s="14" t="inlineStr">
        <is>
          <t>Percentage</t>
        </is>
      </c>
      <c r="G220" s="17" t="inlineStr">
        <is>
          <t>Required</t>
        </is>
      </c>
      <c r="H220" s="8" t="inlineStr"/>
      <c r="I220" s="14" t="inlineStr">
        <is>
          <t>Appraiser-concluded cap rate</t>
        </is>
      </c>
    </row>
    <row r="221" ht="14" customHeight="1" s="4">
      <c r="A221" s="7" t="inlineStr">
        <is>
          <t>DirectCapConclusion</t>
        </is>
      </c>
      <c r="B221" s="20" t="inlineStr">
        <is>
          <t>Direct Cap Indicated Value</t>
        </is>
      </c>
      <c r="C221" s="16" t="inlineStr"/>
      <c r="D221" s="15" t="inlineStr">
        <is>
          <t>Y</t>
        </is>
      </c>
      <c r="E221" s="16" t="inlineStr"/>
      <c r="F221" s="20" t="inlineStr">
        <is>
          <t>Currency</t>
        </is>
      </c>
      <c r="G221" s="19" t="inlineStr">
        <is>
          <t>Calculated</t>
        </is>
      </c>
      <c r="H221" s="8" t="inlineStr"/>
      <c r="I221" s="20" t="inlineStr">
        <is>
          <t>NOI ÷ Cap Rate</t>
        </is>
      </c>
    </row>
    <row r="222" ht="14" customHeight="1" s="4">
      <c r="A222" s="10" t="inlineStr">
        <is>
          <t>DirectCapConclusion</t>
        </is>
      </c>
      <c r="B222" s="20" t="inlineStr">
        <is>
          <t>Lease-Up Discount</t>
        </is>
      </c>
      <c r="C222" s="16" t="inlineStr"/>
      <c r="D222" s="15" t="inlineStr">
        <is>
          <t>Y</t>
        </is>
      </c>
      <c r="E222" s="16" t="inlineStr"/>
      <c r="F222" s="20" t="inlineStr">
        <is>
          <t>Currency</t>
        </is>
      </c>
      <c r="G222" s="19" t="inlineStr">
        <is>
          <t>Calculated</t>
        </is>
      </c>
      <c r="H222" s="8" t="inlineStr"/>
      <c r="I222" s="20" t="inlineStr">
        <is>
          <t>PV of NOI loss from MF Lease Up tab</t>
        </is>
      </c>
    </row>
    <row r="223" ht="14" customHeight="1" s="4">
      <c r="A223" s="7" t="inlineStr">
        <is>
          <t>DirectCapConclusion</t>
        </is>
      </c>
      <c r="B223" s="20" t="inlineStr">
        <is>
          <t>As-Is Value (Concluded)</t>
        </is>
      </c>
      <c r="C223" s="16" t="inlineStr"/>
      <c r="D223" s="15" t="inlineStr">
        <is>
          <t>Y</t>
        </is>
      </c>
      <c r="E223" s="16" t="inlineStr"/>
      <c r="F223" s="20" t="inlineStr">
        <is>
          <t>Currency</t>
        </is>
      </c>
      <c r="G223" s="19" t="inlineStr">
        <is>
          <t>Calculated</t>
        </is>
      </c>
      <c r="H223" s="11" t="inlineStr">
        <is>
          <t>N1AsIsValue</t>
        </is>
      </c>
      <c r="I223" s="20" t="inlineStr">
        <is>
          <t>Final value → @Spell() → feeds Values tab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8" customWidth="1" style="4" min="1" max="1"/>
    <col width="32" customWidth="1" style="4" min="2" max="2"/>
    <col width="28" customWidth="1" style="4" min="3" max="3"/>
    <col width="40" customWidth="1" style="4" min="4" max="4"/>
  </cols>
  <sheetData>
    <row r="1" ht="32" customHeight="1" s="4">
      <c r="A1" s="5" t="inlineStr">
        <is>
          <t>Field Mapping — Cross-Tab Data Flow</t>
        </is>
      </c>
    </row>
    <row r="2">
      <c r="A2" s="6" t="inlineStr">
        <is>
          <t>Source Tab</t>
        </is>
      </c>
      <c r="B2" s="6" t="inlineStr">
        <is>
          <t>Source Field</t>
        </is>
      </c>
      <c r="C2" s="6" t="inlineStr">
        <is>
          <t>Used By Tab</t>
        </is>
      </c>
      <c r="D2" s="6" t="inlineStr">
        <is>
          <t>Used For / How Connected</t>
        </is>
      </c>
    </row>
    <row r="3" ht="28" customHeight="1" s="4">
      <c r="A3" s="7" t="inlineStr">
        <is>
          <t>File Info</t>
        </is>
      </c>
      <c r="B3" s="14" t="inlineStr">
        <is>
          <t>Subject ID (I13)</t>
        </is>
      </c>
      <c r="C3" s="20" t="inlineStr">
        <is>
          <t>ALL tabs</t>
        </is>
      </c>
      <c r="D3" s="8" t="inlineStr">
        <is>
          <t>Master DB record key — Subject ID drives auto-import of property, income, and comp data across the entire workbook</t>
        </is>
      </c>
    </row>
    <row r="4" ht="28" customHeight="1" s="4">
      <c r="A4" s="10" t="inlineStr">
        <is>
          <t>File Info</t>
        </is>
      </c>
      <c r="B4" s="14" t="inlineStr">
        <is>
          <t>Property Major Type</t>
        </is>
      </c>
      <c r="C4" s="20" t="inlineStr">
        <is>
          <t>Settings</t>
        </is>
      </c>
      <c r="D4" s="11" t="inlineStr">
        <is>
          <t>Drives pvaPropertyTypeKey — the master Show/Hide key used by all 27 other tabs to control column visibility</t>
        </is>
      </c>
    </row>
    <row r="5" ht="28" customHeight="1" s="4">
      <c r="A5" s="7" t="inlineStr">
        <is>
          <t>File Info</t>
        </is>
      </c>
      <c r="B5" s="14" t="inlineStr">
        <is>
          <t>State Abbreviation</t>
        </is>
      </c>
      <c r="C5" s="20" t="inlineStr">
        <is>
          <t>Income Approach Setup</t>
        </is>
      </c>
      <c r="D5" s="8" t="inlineStr">
        <is>
          <t>Auto-sets rental rate method via tblRentalRateMethod lookup (e.g. CA → $/SF/Mo)</t>
        </is>
      </c>
    </row>
    <row r="6" ht="28" customHeight="1" s="4">
      <c r="A6" s="10" t="inlineStr">
        <is>
          <t>Settings</t>
        </is>
      </c>
      <c r="B6" s="14" t="inlineStr">
        <is>
          <t>pvaPropertyTypeKey</t>
        </is>
      </c>
      <c r="C6" s="20" t="inlineStr">
        <is>
          <t>Site, Zoning, Improvements, Sales Grid, Lease Grid, MF Market Rent, all Comp Profiles</t>
        </is>
      </c>
      <c r="D6" s="11" t="inlineStr">
        <is>
          <t>Column Show/Hide — each tab reads this key in row 1 (or row 19) to determine which columns to display for the active property type</t>
        </is>
      </c>
    </row>
    <row r="7" ht="28" customHeight="1" s="4">
      <c r="A7" s="7" t="inlineStr">
        <is>
          <t>Settings</t>
        </is>
      </c>
      <c r="B7" s="14" t="inlineStr">
        <is>
          <t>Cost Approach = Yes</t>
        </is>
      </c>
      <c r="C7" s="20" t="inlineStr">
        <is>
          <t>Land Grid, Land Valuation, Land Comp Profiles, Cost Approach Setup, Cost tab</t>
        </is>
      </c>
      <c r="D7" s="8" t="inlineStr">
        <is>
          <t>Activates entire cost approach tab group</t>
        </is>
      </c>
    </row>
    <row r="8" ht="28" customHeight="1" s="4">
      <c r="A8" s="10" t="inlineStr">
        <is>
          <t>Settings</t>
        </is>
      </c>
      <c r="B8" s="14" t="inlineStr">
        <is>
          <t>Sales Comparison = Yes</t>
        </is>
      </c>
      <c r="C8" s="20" t="inlineStr">
        <is>
          <t>Sales Grid, Sale Comp Profiles, Sales Approach</t>
        </is>
      </c>
      <c r="D8" s="11" t="inlineStr">
        <is>
          <t>Activates sales comparison tab group</t>
        </is>
      </c>
    </row>
    <row r="9" ht="28" customHeight="1" s="4">
      <c r="A9" s="7" t="inlineStr">
        <is>
          <t>Settings</t>
        </is>
      </c>
      <c r="B9" s="14" t="inlineStr">
        <is>
          <t>Income Approach = Yes</t>
        </is>
      </c>
      <c r="C9" s="20" t="inlineStr">
        <is>
          <t>Income Approach Setup, Rent Roll Input/Config/Master, Lease Grids, Market Rent, MF Market Rent, Cap &amp; Mult, DirectCapConclusion</t>
        </is>
      </c>
      <c r="D9" s="8" t="inlineStr">
        <is>
          <t>Activates all income approach tabs</t>
        </is>
      </c>
    </row>
    <row r="10" ht="28" customHeight="1" s="4">
      <c r="A10" s="10" t="inlineStr">
        <is>
          <t>Settings</t>
        </is>
      </c>
      <c r="B10" s="14" t="inlineStr">
        <is>
          <t>Is Proposed = Yes</t>
        </is>
      </c>
      <c r="C10" s="20" t="inlineStr">
        <is>
          <t>Dates/Premises, MF Lease Up</t>
        </is>
      </c>
      <c r="D10" s="11" t="inlineStr">
        <is>
          <t>Adds 'Upon Completion' and 'As Stabilized' premises; activates MF Lease Up tab for lease-up discount analysis</t>
        </is>
      </c>
    </row>
    <row r="11" ht="28" customHeight="1" s="4">
      <c r="A11" s="7" t="inlineStr">
        <is>
          <t>Settings</t>
        </is>
      </c>
      <c r="B11" s="14" t="inlineStr">
        <is>
          <t>pvaIncomeApproach_QtyLeaseGrids</t>
        </is>
      </c>
      <c r="C11" s="20" t="inlineStr">
        <is>
          <t>Lease Grid, Market Rent, Rent Comp Profiles</t>
        </is>
      </c>
      <c r="D11" s="8" t="inlineStr">
        <is>
          <t>Controls how many of the 3 possible Lease Grid instances are active</t>
        </is>
      </c>
    </row>
    <row r="12" ht="28" customHeight="1" s="4">
      <c r="A12" s="10" t="inlineStr">
        <is>
          <t>Settings</t>
        </is>
      </c>
      <c r="B12" s="14" t="inlineStr">
        <is>
          <t>pvaIncomeApproach_IsStabilized = No</t>
        </is>
      </c>
      <c r="C12" s="20" t="inlineStr">
        <is>
          <t>MF Lease Up</t>
        </is>
      </c>
      <c r="D12" s="11" t="inlineStr">
        <is>
          <t>Activates MF Lease Up tab for lease-up discount calculation</t>
        </is>
      </c>
    </row>
    <row r="13" ht="28" customHeight="1" s="4">
      <c r="A13" s="7" t="inlineStr">
        <is>
          <t>Settings</t>
        </is>
      </c>
      <c r="B13" s="14" t="inlineStr">
        <is>
          <t>pvaIncomeApproach_RentalRateMethod</t>
        </is>
      </c>
      <c r="C13" s="20" t="inlineStr">
        <is>
          <t>Lease Grid, Market Rent, MF Market Rent, Cap &amp; Mult</t>
        </is>
      </c>
      <c r="D13" s="8" t="inlineStr">
        <is>
          <t>Rental rate method ($/SF/Yr vs $/Unit/Mo etc.) cascades through all income tabs for consistent quoting</t>
        </is>
      </c>
    </row>
    <row r="14" ht="28" customHeight="1" s="4">
      <c r="A14" s="10" t="inlineStr">
        <is>
          <t>Assessment</t>
        </is>
      </c>
      <c r="B14" s="14" t="inlineStr">
        <is>
          <t>Annual Taxes (parcel total)</t>
        </is>
      </c>
      <c r="C14" s="20" t="inlineStr">
        <is>
          <t>Capitalization and Multipliers</t>
        </is>
      </c>
      <c r="D14" s="11" t="inlineStr">
        <is>
          <t>Auto-populated as Real Estate Taxes line in Operating Expenses section</t>
        </is>
      </c>
    </row>
    <row r="15" ht="28" customHeight="1" s="4">
      <c r="A15" s="7" t="inlineStr">
        <is>
          <t>Improvements</t>
        </is>
      </c>
      <c r="B15" s="14" t="inlineStr">
        <is>
          <t>GBA / NRA / Unit Count</t>
        </is>
      </c>
      <c r="C15" s="20" t="inlineStr">
        <is>
          <t>Cost Approach Setup, Sales Grid, MF Market Rent</t>
        </is>
      </c>
      <c r="D15" s="8" t="inlineStr">
        <is>
          <t>Building size and unit data feed into cost, sales, and income analysis headers and calculations</t>
        </is>
      </c>
    </row>
    <row r="16" ht="28" customHeight="1" s="4">
      <c r="A16" s="10" t="inlineStr">
        <is>
          <t>Improvements</t>
        </is>
      </c>
      <c r="B16" s="14" t="inlineStr">
        <is>
          <t>Number of Units</t>
        </is>
      </c>
      <c r="C16" s="20" t="inlineStr">
        <is>
          <t>MF Market Rent, Cap &amp; Mult, Site</t>
        </is>
      </c>
      <c r="D16" s="11" t="inlineStr">
        <is>
          <t>Unit count flows through the entire income analysis chain</t>
        </is>
      </c>
    </row>
    <row r="17" ht="28" customHeight="1" s="4">
      <c r="A17" s="7" t="inlineStr">
        <is>
          <t>Rent Roll Input</t>
        </is>
      </c>
      <c r="B17" s="14" t="inlineStr">
        <is>
          <t>Pasted unit data</t>
        </is>
      </c>
      <c r="C17" s="20" t="inlineStr">
        <is>
          <t>Rent Roll Master (auto-generated)</t>
        </is>
      </c>
      <c r="D17" s="8" t="inlineStr">
        <is>
          <t>Rent Roll Input + Config rules → Rent Roll Master creates the processed, grouped unit data table</t>
        </is>
      </c>
    </row>
    <row r="18" ht="28" customHeight="1" s="4">
      <c r="A18" s="10" t="inlineStr">
        <is>
          <t>Rent Roll Config</t>
        </is>
      </c>
      <c r="B18" s="14" t="inlineStr">
        <is>
          <t>UnitMix_ConfigID / Unit grouping rules</t>
        </is>
      </c>
      <c r="C18" s="20" t="inlineStr">
        <is>
          <t>MF Market Rent</t>
        </is>
      </c>
      <c r="D18" s="11" t="inlineStr">
        <is>
          <t>Column index in MF Market Rent row 2 maps back to Rent Roll Master column positions via UnitMix_ConfigID</t>
        </is>
      </c>
    </row>
    <row r="19" ht="28" customHeight="1" s="4">
      <c r="A19" s="7" t="inlineStr">
        <is>
          <t>Rent Roll Master (auto)</t>
        </is>
      </c>
      <c r="B19" s="14" t="inlineStr">
        <is>
          <t>Unit types, counts, occupancy status</t>
        </is>
      </c>
      <c r="C19" s="20" t="inlineStr">
        <is>
          <t>MF Market Rent</t>
        </is>
      </c>
      <c r="D19" s="8" t="inlineStr">
        <is>
          <t>MF Market Rent rows auto-populated from Rent Roll Master — unit type, # units, occupancy by status (Leased/Model/Employee/Vacant)</t>
        </is>
      </c>
    </row>
    <row r="20" ht="28" customHeight="1" s="4">
      <c r="A20" s="10" t="inlineStr">
        <is>
          <t>MF Market Rent</t>
        </is>
      </c>
      <c r="B20" s="14" t="inlineStr">
        <is>
          <t>Pro Forma EGI</t>
        </is>
      </c>
      <c r="C20" s="20" t="inlineStr">
        <is>
          <t>MF Lease Up</t>
        </is>
      </c>
      <c r="D20" s="11" t="inlineStr">
        <is>
          <t>Stabilized EGI linked from MF Market Rent as the baseline for lease-up absorption schedule</t>
        </is>
      </c>
    </row>
    <row r="21" ht="28" customHeight="1" s="4">
      <c r="A21" s="7" t="inlineStr">
        <is>
          <t>MF Market Rent</t>
        </is>
      </c>
      <c r="B21" s="14" t="inlineStr">
        <is>
          <t>Asking/Contract Rents by Unit Type</t>
        </is>
      </c>
      <c r="C21" s="20" t="inlineStr">
        <is>
          <t>Capitalization and Multipliers</t>
        </is>
      </c>
      <c r="D21" s="8" t="inlineStr">
        <is>
          <t>Rental income PGI option — MF Market Rent totals feed into PGI line in Cap &amp; Mult (Option 1: from Rent Roll)</t>
        </is>
      </c>
    </row>
    <row r="22" ht="28" customHeight="1" s="4">
      <c r="A22" s="10" t="inlineStr">
        <is>
          <t>Lease Grid</t>
        </is>
      </c>
      <c r="B22" s="14" t="inlineStr">
        <is>
          <t>Selected comp rent rates (0x2a markers)</t>
        </is>
      </c>
      <c r="C22" s="20" t="inlineStr">
        <is>
          <t>Market Rent</t>
        </is>
      </c>
      <c r="D22" s="11" t="inlineStr">
        <is>
          <t>Selected rates from each Lease Grid flow to Market Rent conclusions for each unit type or tenant space</t>
        </is>
      </c>
    </row>
    <row r="23" ht="28" customHeight="1" s="4">
      <c r="A23" s="7" t="inlineStr">
        <is>
          <t>Market Rent</t>
        </is>
      </c>
      <c r="B23" s="14" t="inlineStr">
        <is>
          <t>N1_chtRentUtilitiesCostBurden</t>
        </is>
      </c>
      <c r="C23" s="20" t="inlineStr">
        <is>
          <t>Report Narrative</t>
        </is>
      </c>
      <c r="D23" s="8" t="inlineStr">
        <is>
          <t>Named range feeds utilities burden chart/table in report output</t>
        </is>
      </c>
    </row>
    <row r="24" ht="28" customHeight="1" s="4">
      <c r="A24" s="10" t="inlineStr">
        <is>
          <t>Capitalization and Multipliers</t>
        </is>
      </c>
      <c r="B24" s="14" t="inlineStr">
        <is>
          <t>NOI</t>
        </is>
      </c>
      <c r="C24" s="20" t="inlineStr">
        <is>
          <t>DirectCapConclusion</t>
        </is>
      </c>
      <c r="D24" s="11" t="inlineStr">
        <is>
          <t>Net Operating Income is the primary input to the Direct Cap value conclusion (NOI ÷ Cap Rate = Value)</t>
        </is>
      </c>
    </row>
    <row r="25" ht="28" customHeight="1" s="4">
      <c r="A25" s="7" t="inlineStr">
        <is>
          <t>Capitalization and Multipliers</t>
        </is>
      </c>
      <c r="B25" s="14" t="inlineStr">
        <is>
          <t>Historical year column labels</t>
        </is>
      </c>
      <c r="C25" s="20" t="inlineStr">
        <is>
          <t>DirectCapConclusion</t>
        </is>
      </c>
      <c r="D25" s="8" t="inlineStr">
        <is>
          <t>Year labels (T-12, Year-1 through Year-6, YTD) display in DirectCapConclusion historical summary section</t>
        </is>
      </c>
    </row>
    <row r="26" ht="28" customHeight="1" s="4">
      <c r="A26" s="10" t="inlineStr">
        <is>
          <t>Capitalization and Multipliers</t>
        </is>
      </c>
      <c r="B26" s="14" t="inlineStr">
        <is>
          <t>Indicated Value (N1DirCapValue)</t>
        </is>
      </c>
      <c r="C26" s="20" t="inlineStr">
        <is>
          <t>Values tab</t>
        </is>
      </c>
      <c r="D26" s="11" t="inlineStr">
        <is>
          <t>@Spell(N1DirCapValue, refCell) converts to written words for report narrative and Values tab</t>
        </is>
      </c>
    </row>
    <row r="27" ht="28" customHeight="1" s="4">
      <c r="A27" s="7" t="inlineStr">
        <is>
          <t>Investor Survey Output</t>
        </is>
      </c>
      <c r="B27" s="14" t="inlineStr">
        <is>
          <t>Cap Rate Range (RERC, PwC, Nareit, NCREIF)</t>
        </is>
      </c>
      <c r="C27" s="20" t="inlineStr">
        <is>
          <t>DirectCapConclusion</t>
        </is>
      </c>
      <c r="D27" s="8" t="inlineStr">
        <is>
          <t>Third-party survey cap rate data supports cap rate selection in DirectCapConclusion risk factor analysis</t>
        </is>
      </c>
    </row>
    <row r="28" ht="28" customHeight="1" s="4">
      <c r="A28" s="10" t="inlineStr">
        <is>
          <t>MF Lease Up</t>
        </is>
      </c>
      <c r="B28" s="14" t="inlineStr">
        <is>
          <t>PV of NOI Loss</t>
        </is>
      </c>
      <c r="C28" s="20" t="inlineStr">
        <is>
          <t>DirectCapConclusion</t>
        </is>
      </c>
      <c r="D28" s="11" t="inlineStr">
        <is>
          <t>Present value of NOI loss during absorption period applied as lease-up discount to arrive at As-Is value</t>
        </is>
      </c>
    </row>
    <row r="29" ht="28" customHeight="1" s="4">
      <c r="A29" s="7" t="inlineStr">
        <is>
          <t>DirectCapConclusion</t>
        </is>
      </c>
      <c r="B29" s="14" t="inlineStr">
        <is>
          <t>As-Is Value (N1AsIsValue)</t>
        </is>
      </c>
      <c r="C29" s="20" t="inlineStr">
        <is>
          <t>Values tab</t>
        </is>
      </c>
      <c r="D29" s="8" t="inlineStr">
        <is>
          <t>Final concluded As-Is value @Spell() formula feeds Values tab and Appraisal Summary</t>
        </is>
      </c>
    </row>
    <row r="30" ht="28" customHeight="1" s="4">
      <c r="A30" s="10" t="inlineStr">
        <is>
          <t>Dates, Premises</t>
        </is>
      </c>
      <c r="B30" s="14" t="inlineStr">
        <is>
          <t>Effective dates per premise</t>
        </is>
      </c>
      <c r="C30" s="20" t="inlineStr">
        <is>
          <t>DirectCapConclusion, Values tab</t>
        </is>
      </c>
      <c r="D30" s="11" t="inlineStr">
        <is>
          <t>Premise dates appear in value conclusion headers and narrative</t>
        </is>
      </c>
    </row>
    <row r="31" ht="28" customHeight="1" s="4">
      <c r="A31" s="7" t="inlineStr">
        <is>
          <t>Site</t>
        </is>
      </c>
      <c r="B31" s="14" t="inlineStr">
        <is>
          <t>Land SF per parcel</t>
        </is>
      </c>
      <c r="C31" s="20" t="inlineStr">
        <is>
          <t>Land Grid</t>
        </is>
      </c>
      <c r="D31" s="8" t="inlineStr">
        <is>
          <t>Subject land area in SF appears in Land Grid subject column header for land comp analysis</t>
        </is>
      </c>
    </row>
    <row r="32" ht="28" customHeight="1" s="4">
      <c r="A32" s="10" t="inlineStr">
        <is>
          <t>pvaCbsaId (from DB import)</t>
        </is>
      </c>
      <c r="B32" s="14" t="inlineStr">
        <is>
          <t>CBSA ID</t>
        </is>
      </c>
      <c r="C32" s="20" t="inlineStr">
        <is>
          <t>Investor Survey Output</t>
        </is>
      </c>
      <c r="D32" s="11" t="inlineStr">
        <is>
          <t>tblPwC_MSA lookup: IFERROR(INDEX(tblPwC_MSA[MSA Short Name],MATCH(pvaCbsaId,…))) auto-sets MSA in Investor Survey Output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6" customWidth="1" style="4" min="1" max="1"/>
    <col width="32" customWidth="1" style="4" min="2" max="2"/>
    <col width="75" customWidth="1" style="4" min="3" max="3"/>
  </cols>
  <sheetData>
    <row r="1" ht="32" customHeight="1" s="4">
      <c r="A1" s="5" t="inlineStr">
        <is>
          <t>Dropdown Values — All Dropdown Fields &amp; Their Options</t>
        </is>
      </c>
    </row>
    <row r="2">
      <c r="A2" s="6" t="inlineStr">
        <is>
          <t>Tab Name</t>
        </is>
      </c>
      <c r="B2" s="6" t="inlineStr">
        <is>
          <t>Field Name</t>
        </is>
      </c>
      <c r="C2" s="6" t="inlineStr">
        <is>
          <t>All Dropdown Options (pipe-separated)</t>
        </is>
      </c>
    </row>
    <row r="3" ht="16" customHeight="1" s="4">
      <c r="A3" s="7" t="inlineStr">
        <is>
          <t>File Info</t>
        </is>
      </c>
      <c r="B3" s="18" t="inlineStr">
        <is>
          <t>Property Major Type</t>
        </is>
      </c>
      <c r="C3" s="8" t="inlineStr">
        <is>
          <t>Multi-Family | Retail-Commercial | Office | Industrial | Shopping Center | Health Care | Senior Housing | Self-Storage | Lodging &amp; Hospitality | Mobile/Manufactured Home Park</t>
        </is>
      </c>
    </row>
    <row r="4" ht="16" customHeight="1" s="4">
      <c r="A4" s="10" t="inlineStr">
        <is>
          <t>File Info</t>
        </is>
      </c>
      <c r="B4" s="18" t="inlineStr">
        <is>
          <t>Property Type (Subtype) — MF</t>
        </is>
      </c>
      <c r="C4" s="11" t="inlineStr">
        <is>
          <t>Garden/Low-Rise | Mid-Rise | High-Rise | Mobile/Manufactured Home Park | Student-Oriented Housing | Affordable | Mixed-Income</t>
        </is>
      </c>
    </row>
    <row r="5" ht="16" customHeight="1" s="4">
      <c r="A5" s="7" t="inlineStr">
        <is>
          <t>File Info</t>
        </is>
      </c>
      <c r="B5" s="18" t="inlineStr">
        <is>
          <t>Property Type (Subtype) — Retail</t>
        </is>
      </c>
      <c r="C5" s="8" t="inlineStr">
        <is>
          <t>Strip Center | Neighborhood Center | Community Center | Power Center | Super Regional Center/Mall | Freestanding | Mixed-Use</t>
        </is>
      </c>
    </row>
    <row r="6" ht="16" customHeight="1" s="4">
      <c r="A6" s="10" t="inlineStr">
        <is>
          <t>File Info</t>
        </is>
      </c>
      <c r="B6" s="18" t="inlineStr">
        <is>
          <t>Property Type (Subtype) — Office</t>
        </is>
      </c>
      <c r="C6" s="11" t="inlineStr">
        <is>
          <t>Low-Rise | Mid-Rise | High-Rise | Medical Office | R&amp;D/Flex Office | Mixed-Use</t>
        </is>
      </c>
    </row>
    <row r="7" ht="16" customHeight="1" s="4">
      <c r="A7" s="7" t="inlineStr">
        <is>
          <t>File Info</t>
        </is>
      </c>
      <c r="B7" s="18" t="inlineStr">
        <is>
          <t>Property Type (Subtype) — Industrial</t>
        </is>
      </c>
      <c r="C7" s="8" t="inlineStr">
        <is>
          <t>Warehouse/Distribution | Flex/R&amp;D | Manufacturing | Cold Storage | Self-Storage | Truck Terminal</t>
        </is>
      </c>
    </row>
    <row r="8" ht="16" customHeight="1" s="4">
      <c r="A8" s="10" t="inlineStr">
        <is>
          <t>File Info</t>
        </is>
      </c>
      <c r="B8" s="18" t="inlineStr">
        <is>
          <t>Property Type (Subtype) — Health Care</t>
        </is>
      </c>
      <c r="C8" s="11" t="inlineStr">
        <is>
          <t>Medical Office | Ambulatory Surgery Center | Hospital | Skilled Nursing Facility | Assisted Living | Memory Care</t>
        </is>
      </c>
    </row>
    <row r="9" ht="16" customHeight="1" s="4">
      <c r="A9" s="7" t="inlineStr">
        <is>
          <t>File Info</t>
        </is>
      </c>
      <c r="B9" s="18" t="inlineStr">
        <is>
          <t>Property Type (Subtype) — Senior Housing</t>
        </is>
      </c>
      <c r="C9" s="8" t="inlineStr">
        <is>
          <t>Independent Living | Assisted Living | Memory Care | CCRC | Skilled Nursing</t>
        </is>
      </c>
    </row>
    <row r="10" ht="16" customHeight="1" s="4">
      <c r="A10" s="10" t="inlineStr">
        <is>
          <t>File Info</t>
        </is>
      </c>
      <c r="B10" s="18" t="inlineStr">
        <is>
          <t>Existing or Proposed?</t>
        </is>
      </c>
      <c r="C10" s="11" t="inlineStr">
        <is>
          <t>Existing | Proposed | Under Construction | Vacant Land</t>
        </is>
      </c>
    </row>
    <row r="11" ht="16" customHeight="1" s="4">
      <c r="A11" s="7" t="inlineStr">
        <is>
          <t>File Info</t>
        </is>
      </c>
      <c r="B11" s="18" t="inlineStr">
        <is>
          <t>Country</t>
        </is>
      </c>
      <c r="C11" s="8" t="inlineStr">
        <is>
          <t>United States | Canada</t>
        </is>
      </c>
    </row>
    <row r="12" ht="16" customHeight="1" s="4">
      <c r="A12" s="10" t="inlineStr">
        <is>
          <t>File Info</t>
        </is>
      </c>
      <c r="B12" s="18" t="inlineStr">
        <is>
          <t>State Abbreviation</t>
        </is>
      </c>
      <c r="C12" s="11" t="inlineStr">
        <is>
          <t>AL | AK | AZ | AR | CA | CO | CT | DE | FL | GA | HI | ID | IL | IN | IA | KS | KY | LA | ME | MD | MA | MI | MN | MS | MO | MT | NE | NV | NH | NJ | NM | NY | NC | ND | OH | OK | OR | PA | RI | SC | SD | TN | TX | UT | VT | VA | WA | WV | WI | WY | DC | (+ Canadian provinces: AB | BC | MB | NB | NL | NS | NT | NU | ON | PE | QC | SK | YT)</t>
        </is>
      </c>
    </row>
    <row r="13" ht="16" customHeight="1" s="4">
      <c r="A13" s="7" t="inlineStr">
        <is>
          <t>File Info</t>
        </is>
      </c>
      <c r="B13" s="18" t="inlineStr">
        <is>
          <t>Is there Multi-Family Affordable?</t>
        </is>
      </c>
      <c r="C13" s="8" t="inlineStr">
        <is>
          <t>Yes | No</t>
        </is>
      </c>
    </row>
    <row r="14" ht="16" customHeight="1" s="4">
      <c r="A14" s="10" t="inlineStr">
        <is>
          <t>File Info</t>
        </is>
      </c>
      <c r="B14" s="18" t="inlineStr">
        <is>
          <t>Is there Multi-Family Renovation?</t>
        </is>
      </c>
      <c r="C14" s="11" t="inlineStr">
        <is>
          <t>Yes | No</t>
        </is>
      </c>
    </row>
    <row r="15" ht="16" customHeight="1" s="4">
      <c r="A15" s="7" t="inlineStr">
        <is>
          <t>File Info</t>
        </is>
      </c>
      <c r="B15" s="18" t="inlineStr">
        <is>
          <t>Is this a Market Study?</t>
        </is>
      </c>
      <c r="C15" s="8" t="inlineStr">
        <is>
          <t>Yes | No</t>
        </is>
      </c>
    </row>
    <row r="16" ht="16" customHeight="1" s="4">
      <c r="A16" s="10" t="inlineStr">
        <is>
          <t>File Info</t>
        </is>
      </c>
      <c r="B16" s="18" t="inlineStr">
        <is>
          <t>Lodging &amp; Hospitality Chain Scale</t>
        </is>
      </c>
      <c r="C16" s="11" t="inlineStr">
        <is>
          <t>Luxury | Upper Upscale | Upscale | Upper Midscale | Midscale | Economy</t>
        </is>
      </c>
    </row>
    <row r="17" ht="16" customHeight="1" s="4">
      <c r="A17" s="7" t="inlineStr">
        <is>
          <t>File Info</t>
        </is>
      </c>
      <c r="B17" s="18" t="inlineStr">
        <is>
          <t>Show Template (Front End / Back End)</t>
        </is>
      </c>
      <c r="C17" s="8" t="inlineStr">
        <is>
          <t>Front End | Back End</t>
        </is>
      </c>
    </row>
    <row r="18" ht="16" customHeight="1" s="4">
      <c r="A18" s="10" t="inlineStr">
        <is>
          <t>Settings</t>
        </is>
      </c>
      <c r="B18" s="18" t="inlineStr">
        <is>
          <t>What agency is this job for?</t>
        </is>
      </c>
      <c r="C18" s="11" t="inlineStr">
        <is>
          <t>None | Freddie Mac | Fannie Mae | HUD | FHA | CMBS</t>
        </is>
      </c>
    </row>
    <row r="19" ht="16" customHeight="1" s="4">
      <c r="A19" s="7" t="inlineStr">
        <is>
          <t>Settings</t>
        </is>
      </c>
      <c r="B19" s="18" t="inlineStr">
        <is>
          <t>HUD Sub-menu</t>
        </is>
      </c>
      <c r="C19" s="8" t="inlineStr">
        <is>
          <t>HUD 92264 | HUD 92273 Market | HUD 92273 Affordable | HUD 92273 Section 8 | HUD 92274 | HUD 92264T</t>
        </is>
      </c>
    </row>
    <row r="20" ht="16" customHeight="1" s="4">
      <c r="A20" s="10" t="inlineStr">
        <is>
          <t>Settings</t>
        </is>
      </c>
      <c r="B20" s="18" t="inlineStr">
        <is>
          <t>Value Allocation or Real Estate Only?</t>
        </is>
      </c>
      <c r="C20" s="11" t="inlineStr">
        <is>
          <t>Real Estate Only | Value Allocation</t>
        </is>
      </c>
    </row>
    <row r="21" ht="16" customHeight="1" s="4">
      <c r="A21" s="7" t="inlineStr">
        <is>
          <t>Settings</t>
        </is>
      </c>
      <c r="B21" s="18" t="inlineStr">
        <is>
          <t>Cost Approach (on/off)</t>
        </is>
      </c>
      <c r="C21" s="8" t="inlineStr">
        <is>
          <t>Yes | No</t>
        </is>
      </c>
    </row>
    <row r="22" ht="16" customHeight="1" s="4">
      <c r="A22" s="10" t="inlineStr">
        <is>
          <t>Settings</t>
        </is>
      </c>
      <c r="B22" s="18" t="inlineStr">
        <is>
          <t>Sales Comparison Approach (on/off)</t>
        </is>
      </c>
      <c r="C22" s="11" t="inlineStr">
        <is>
          <t>Yes | No</t>
        </is>
      </c>
    </row>
    <row r="23" ht="16" customHeight="1" s="4">
      <c r="A23" s="7" t="inlineStr">
        <is>
          <t>Settings</t>
        </is>
      </c>
      <c r="B23" s="18" t="inlineStr">
        <is>
          <t>Income Capitalization Approach (on/off)</t>
        </is>
      </c>
      <c r="C23" s="8" t="inlineStr">
        <is>
          <t>Yes | No</t>
        </is>
      </c>
    </row>
    <row r="24" ht="16" customHeight="1" s="4">
      <c r="A24" s="10" t="inlineStr">
        <is>
          <t>Settings</t>
        </is>
      </c>
      <c r="B24" s="18" t="inlineStr">
        <is>
          <t>Do you need Land Comps?</t>
        </is>
      </c>
      <c r="C24" s="11" t="inlineStr">
        <is>
          <t>Yes | No</t>
        </is>
      </c>
    </row>
    <row r="25" ht="16" customHeight="1" s="4">
      <c r="A25" s="7" t="inlineStr">
        <is>
          <t>Settings</t>
        </is>
      </c>
      <c r="B25" s="18" t="inlineStr">
        <is>
          <t>How many Land Grids?</t>
        </is>
      </c>
      <c r="C25" s="8" t="inlineStr">
        <is>
          <t>1 | 2 | 3</t>
        </is>
      </c>
    </row>
    <row r="26" ht="16" customHeight="1" s="4">
      <c r="A26" s="10" t="inlineStr">
        <is>
          <t>Settings</t>
        </is>
      </c>
      <c r="B26" s="18" t="inlineStr">
        <is>
          <t>Is this a Proposed Property?</t>
        </is>
      </c>
      <c r="C26" s="11" t="inlineStr">
        <is>
          <t>Yes | No</t>
        </is>
      </c>
    </row>
    <row r="27" ht="16" customHeight="1" s="4">
      <c r="A27" s="7" t="inlineStr">
        <is>
          <t>Settings</t>
        </is>
      </c>
      <c r="B27" s="18" t="inlineStr">
        <is>
          <t>Has property been sold/listed in past X years?</t>
        </is>
      </c>
      <c r="C27" s="8" t="inlineStr">
        <is>
          <t>Yes | No</t>
        </is>
      </c>
    </row>
    <row r="28" ht="16" customHeight="1" s="4">
      <c r="A28" s="10" t="inlineStr">
        <is>
          <t>Settings</t>
        </is>
      </c>
      <c r="B28" s="18" t="inlineStr">
        <is>
          <t>Rounding: Formula or Set Multiple</t>
        </is>
      </c>
      <c r="C28" s="11" t="inlineStr">
        <is>
          <t>Set Multiple | Formula</t>
        </is>
      </c>
    </row>
    <row r="29" ht="16" customHeight="1" s="4">
      <c r="A29" s="7" t="inlineStr">
        <is>
          <t>Settings</t>
        </is>
      </c>
      <c r="B29" s="18" t="inlineStr">
        <is>
          <t>Subject Unit of Comparison</t>
        </is>
      </c>
      <c r="C29" s="8" t="inlineStr">
        <is>
          <t>Unit | SF | Room | Bed | Key</t>
        </is>
      </c>
    </row>
    <row r="30" ht="16" customHeight="1" s="4">
      <c r="A30" s="10" t="inlineStr">
        <is>
          <t>Settings</t>
        </is>
      </c>
      <c r="B30" s="18" t="inlineStr">
        <is>
          <t>For MF: Unit Count UOM</t>
        </is>
      </c>
      <c r="C30" s="11" t="inlineStr">
        <is>
          <t>Unit | SF</t>
        </is>
      </c>
    </row>
    <row r="31" ht="16" customHeight="1" s="4">
      <c r="A31" s="7" t="inlineStr">
        <is>
          <t>Settings</t>
        </is>
      </c>
      <c r="B31" s="18" t="inlineStr">
        <is>
          <t>For Mixed-Use: Include Commercial in unit count?</t>
        </is>
      </c>
      <c r="C31" s="8" t="inlineStr">
        <is>
          <t>Yes | No</t>
        </is>
      </c>
    </row>
    <row r="32" ht="16" customHeight="1" s="4">
      <c r="A32" s="10" t="inlineStr">
        <is>
          <t>Settings</t>
        </is>
      </c>
      <c r="B32" s="18" t="inlineStr">
        <is>
          <t>Full vs. Insurable Value?</t>
        </is>
      </c>
      <c r="C32" s="11" t="inlineStr">
        <is>
          <t>Full Cost Approach | Insurable Value Only</t>
        </is>
      </c>
    </row>
    <row r="33" ht="16" customHeight="1" s="4">
      <c r="A33" s="7" t="inlineStr">
        <is>
          <t>Settings</t>
        </is>
      </c>
      <c r="B33" s="18" t="inlineStr">
        <is>
          <t>External Obsolescence Analysis?</t>
        </is>
      </c>
      <c r="C33" s="8" t="inlineStr">
        <is>
          <t>Yes | No</t>
        </is>
      </c>
    </row>
    <row r="34" ht="16" customHeight="1" s="4">
      <c r="A34" s="10" t="inlineStr">
        <is>
          <t>Settings</t>
        </is>
      </c>
      <c r="B34" s="18" t="inlineStr">
        <is>
          <t>Do you have Cost Comparables?</t>
        </is>
      </c>
      <c r="C34" s="11" t="inlineStr">
        <is>
          <t>Yes | No</t>
        </is>
      </c>
    </row>
    <row r="35" ht="16" customHeight="1" s="4">
      <c r="A35" s="7" t="inlineStr">
        <is>
          <t>Settings</t>
        </is>
      </c>
      <c r="B35" s="18" t="inlineStr">
        <is>
          <t>Do you have a Construction Budget?</t>
        </is>
      </c>
      <c r="C35" s="8" t="inlineStr">
        <is>
          <t>Yes | No</t>
        </is>
      </c>
    </row>
    <row r="36" ht="16" customHeight="1" s="4">
      <c r="A36" s="10" t="inlineStr">
        <is>
          <t>Settings</t>
        </is>
      </c>
      <c r="B36" s="18" t="inlineStr">
        <is>
          <t>Is it a Going Concern Value?</t>
        </is>
      </c>
      <c r="C36" s="11" t="inlineStr">
        <is>
          <t>Yes | No</t>
        </is>
      </c>
    </row>
    <row r="37" ht="16" customHeight="1" s="4">
      <c r="A37" s="7" t="inlineStr">
        <is>
          <t>Settings</t>
        </is>
      </c>
      <c r="B37" s="18" t="inlineStr">
        <is>
          <t>Do you need Direct Cap, DCF, or both?</t>
        </is>
      </c>
      <c r="C37" s="8" t="inlineStr">
        <is>
          <t>Direct Cap Only | DCF Only | Both</t>
        </is>
      </c>
    </row>
    <row r="38" ht="16" customHeight="1" s="4">
      <c r="A38" s="10" t="inlineStr">
        <is>
          <t>Settings</t>
        </is>
      </c>
      <c r="B38" s="18" t="inlineStr">
        <is>
          <t>Which DCF Software?</t>
        </is>
      </c>
      <c r="C38" s="11" t="inlineStr">
        <is>
          <t>Argus Enterprise | ProCalc | Excel DCF | Other</t>
        </is>
      </c>
    </row>
    <row r="39" ht="16" customHeight="1" s="4">
      <c r="A39" s="7" t="inlineStr">
        <is>
          <t>Settings</t>
        </is>
      </c>
      <c r="B39" s="18" t="inlineStr">
        <is>
          <t>How many Lease Grids?</t>
        </is>
      </c>
      <c r="C39" s="8" t="inlineStr">
        <is>
          <t>1 | 2 | 3</t>
        </is>
      </c>
    </row>
    <row r="40" ht="16" customHeight="1" s="4">
      <c r="A40" s="10" t="inlineStr">
        <is>
          <t>Settings</t>
        </is>
      </c>
      <c r="B40" s="18" t="inlineStr">
        <is>
          <t>How does market quote rental rates?</t>
        </is>
      </c>
      <c r="C40" s="11" t="inlineStr">
        <is>
          <t>$/SF/Mo | $/SF/Yr | $/Unit/Mo | $/Unit/Yr | $/Room/Mo</t>
        </is>
      </c>
    </row>
    <row r="41" ht="16" customHeight="1" s="4">
      <c r="A41" s="7" t="inlineStr">
        <is>
          <t>Settings</t>
        </is>
      </c>
      <c r="B41" s="18" t="inlineStr">
        <is>
          <t>Do you have a budget to spread?</t>
        </is>
      </c>
      <c r="C41" s="8" t="inlineStr">
        <is>
          <t>Yes | No</t>
        </is>
      </c>
    </row>
    <row r="42" ht="16" customHeight="1" s="4">
      <c r="A42" s="10" t="inlineStr">
        <is>
          <t>Settings</t>
        </is>
      </c>
      <c r="B42" s="18" t="inlineStr">
        <is>
          <t>Is the subject stabilized?</t>
        </is>
      </c>
      <c r="C42" s="11" t="inlineStr">
        <is>
          <t>Yes | No</t>
        </is>
      </c>
    </row>
    <row r="43" ht="16" customHeight="1" s="4">
      <c r="A43" s="7" t="inlineStr">
        <is>
          <t>Settings</t>
        </is>
      </c>
      <c r="B43" s="18" t="inlineStr">
        <is>
          <t>Include Reserves in OpEx Ratio?</t>
        </is>
      </c>
      <c r="C43" s="8" t="inlineStr">
        <is>
          <t>Yes | No</t>
        </is>
      </c>
    </row>
    <row r="44" ht="16" customHeight="1" s="4">
      <c r="A44" s="10" t="inlineStr">
        <is>
          <t>Dates, Premises</t>
        </is>
      </c>
      <c r="B44" s="18" t="inlineStr">
        <is>
          <t>Value Type</t>
        </is>
      </c>
      <c r="C44" s="11" t="inlineStr">
        <is>
          <t>Market Value As Is | Market Value Upon Completion | Market Value As Stabilized | Prospective Market Value | Investment Value | Liquidation Value</t>
        </is>
      </c>
    </row>
    <row r="45" ht="16" customHeight="1" s="4">
      <c r="A45" s="7" t="inlineStr">
        <is>
          <t>Dates, Premises</t>
        </is>
      </c>
      <c r="B45" s="18" t="inlineStr">
        <is>
          <t>Value Perspective</t>
        </is>
      </c>
      <c r="C45" s="8" t="inlineStr">
        <is>
          <t>Retrospective | Current (as of inspection) | Prospective</t>
        </is>
      </c>
    </row>
    <row r="46" ht="16" customHeight="1" s="4">
      <c r="A46" s="10" t="inlineStr">
        <is>
          <t>Dates, Premises</t>
        </is>
      </c>
      <c r="B46" s="18" t="inlineStr">
        <is>
          <t>Interest Appraised</t>
        </is>
      </c>
      <c r="C46" s="11" t="inlineStr">
        <is>
          <t>Fee Simple | Leased Fee | Leasehold | Partial Interest</t>
        </is>
      </c>
    </row>
    <row r="47" ht="16" customHeight="1" s="4">
      <c r="A47" s="7" t="inlineStr">
        <is>
          <t>Contracts, History</t>
        </is>
      </c>
      <c r="B47" s="18" t="inlineStr">
        <is>
          <t>Most Recent Sale — Property Rights</t>
        </is>
      </c>
      <c r="C47" s="8" t="inlineStr">
        <is>
          <t>Fee Simple | Leased Fee | Leasehold | Unknown</t>
        </is>
      </c>
    </row>
    <row r="48" ht="16" customHeight="1" s="4">
      <c r="A48" s="10" t="inlineStr">
        <is>
          <t>Scope</t>
        </is>
      </c>
      <c r="B48" s="18" t="inlineStr">
        <is>
          <t>Report Type</t>
        </is>
      </c>
      <c r="C48" s="11" t="inlineStr">
        <is>
          <t>Appraisal Report | Restricted Appraisal Report | Evaluation Appraisal Report | Short Narrative | Narrative</t>
        </is>
      </c>
    </row>
    <row r="49" ht="16" customHeight="1" s="4">
      <c r="A49" s="7" t="inlineStr">
        <is>
          <t>Scope</t>
        </is>
      </c>
      <c r="B49" s="18" t="inlineStr">
        <is>
          <t>Intended Use</t>
        </is>
      </c>
      <c r="C49" s="8" t="inlineStr">
        <is>
          <t>Mortgage lending | Estate planning | Litigation | Internal use | Sale/purchase | Portfolio analysis | Other</t>
        </is>
      </c>
    </row>
    <row r="50" ht="16" customHeight="1" s="4">
      <c r="A50" s="10" t="inlineStr">
        <is>
          <t>Scope</t>
        </is>
      </c>
      <c r="B50" s="18" t="inlineStr">
        <is>
          <t>Inspection Method</t>
        </is>
      </c>
      <c r="C50" s="11" t="inlineStr">
        <is>
          <t>Interior &amp; Exterior | Exterior Only | Drive-by | Desk Review | No Inspection</t>
        </is>
      </c>
    </row>
    <row r="51" ht="16" customHeight="1" s="4">
      <c r="A51" s="7" t="inlineStr">
        <is>
          <t>Scope</t>
        </is>
      </c>
      <c r="B51" s="18" t="inlineStr">
        <is>
          <t>Highest and Best Use conducted?</t>
        </is>
      </c>
      <c r="C51" s="8" t="inlineStr">
        <is>
          <t>Yes | No</t>
        </is>
      </c>
    </row>
    <row r="52" ht="16" customHeight="1" s="4">
      <c r="A52" s="10" t="inlineStr">
        <is>
          <t>Site</t>
        </is>
      </c>
      <c r="B52" s="18" t="inlineStr">
        <is>
          <t>No. of Parcels</t>
        </is>
      </c>
      <c r="C52" s="11" t="inlineStr">
        <is>
          <t>1 | 2 | 3 | 4 | 5+</t>
        </is>
      </c>
    </row>
    <row r="53" ht="16" customHeight="1" s="4">
      <c r="A53" s="7" t="inlineStr">
        <is>
          <t>Site</t>
        </is>
      </c>
      <c r="B53" s="18" t="inlineStr">
        <is>
          <t>Topography</t>
        </is>
      </c>
      <c r="C53" s="8" t="inlineStr">
        <is>
          <t>Level | Gently Sloping | Steeply Sloping | Hilly | Below Street Grade | Rolling | Other</t>
        </is>
      </c>
    </row>
    <row r="54" ht="16" customHeight="1" s="4">
      <c r="A54" s="10" t="inlineStr">
        <is>
          <t>Site</t>
        </is>
      </c>
      <c r="B54" s="18" t="inlineStr">
        <is>
          <t>Shape</t>
        </is>
      </c>
      <c r="C54" s="11" t="inlineStr">
        <is>
          <t>Regular | Irregular | Triangular | Flag | L-Shaped | Other</t>
        </is>
      </c>
    </row>
    <row r="55" ht="16" customHeight="1" s="4">
      <c r="A55" s="7" t="inlineStr">
        <is>
          <t>Site</t>
        </is>
      </c>
      <c r="B55" s="18" t="inlineStr">
        <is>
          <t>Visibility</t>
        </is>
      </c>
      <c r="C55" s="8" t="inlineStr">
        <is>
          <t>Excellent | Good | Average | Fair | Poor</t>
        </is>
      </c>
    </row>
    <row r="56" ht="16" customHeight="1" s="4">
      <c r="A56" s="10" t="inlineStr">
        <is>
          <t>Site</t>
        </is>
      </c>
      <c r="B56" s="18" t="inlineStr">
        <is>
          <t>Corner Location</t>
        </is>
      </c>
      <c r="C56" s="11" t="inlineStr">
        <is>
          <t>Yes | No</t>
        </is>
      </c>
    </row>
    <row r="57" ht="16" customHeight="1" s="4">
      <c r="A57" s="7" t="inlineStr">
        <is>
          <t>Zoning</t>
        </is>
      </c>
      <c r="B57" s="18" t="inlineStr">
        <is>
          <t>No. of Zones</t>
        </is>
      </c>
      <c r="C57" s="8" t="inlineStr">
        <is>
          <t>1 | 2 | 3 | 4+</t>
        </is>
      </c>
    </row>
    <row r="58" ht="16" customHeight="1" s="4">
      <c r="A58" s="10" t="inlineStr">
        <is>
          <t>Zoning</t>
        </is>
      </c>
      <c r="B58" s="18" t="inlineStr">
        <is>
          <t>Conforming?</t>
        </is>
      </c>
      <c r="C58" s="11" t="inlineStr">
        <is>
          <t>Conforming | Legal Non-Conforming | Non-Conforming | Unknown</t>
        </is>
      </c>
    </row>
    <row r="59" ht="16" customHeight="1" s="4">
      <c r="A59" s="7" t="inlineStr">
        <is>
          <t>Improvements</t>
        </is>
      </c>
      <c r="B59" s="18" t="inlineStr">
        <is>
          <t>No. of Buildings</t>
        </is>
      </c>
      <c r="C59" s="8" t="inlineStr">
        <is>
          <t>1 | 2 | 3 | 4 | 5+</t>
        </is>
      </c>
    </row>
    <row r="60" ht="16" customHeight="1" s="4">
      <c r="A60" s="10" t="inlineStr">
        <is>
          <t>Improvements</t>
        </is>
      </c>
      <c r="B60" s="18" t="inlineStr">
        <is>
          <t>Quality</t>
        </is>
      </c>
      <c r="C60" s="11" t="inlineStr">
        <is>
          <t>Class A | Class A- | Class B+ | Class B | Class B- | Class C+ | Class C</t>
        </is>
      </c>
    </row>
    <row r="61" ht="16" customHeight="1" s="4">
      <c r="A61" s="7" t="inlineStr">
        <is>
          <t>Improvements</t>
        </is>
      </c>
      <c r="B61" s="18" t="inlineStr">
        <is>
          <t>Condition</t>
        </is>
      </c>
      <c r="C61" s="8" t="inlineStr">
        <is>
          <t>Excellent | Good | Average | Fair | Poor</t>
        </is>
      </c>
    </row>
    <row r="62" ht="16" customHeight="1" s="4">
      <c r="A62" s="10" t="inlineStr">
        <is>
          <t>Improvements</t>
        </is>
      </c>
      <c r="B62" s="18" t="inlineStr">
        <is>
          <t>Sprinkler System</t>
        </is>
      </c>
      <c r="C62" s="11" t="inlineStr">
        <is>
          <t>Yes — Wet Pipe | Yes — Dry Pipe | Partial | No</t>
        </is>
      </c>
    </row>
    <row r="63" ht="16" customHeight="1" s="4">
      <c r="A63" s="7" t="inlineStr">
        <is>
          <t>Improvements</t>
        </is>
      </c>
      <c r="B63" s="18" t="inlineStr">
        <is>
          <t>ADA Compliance</t>
        </is>
      </c>
      <c r="C63" s="8" t="inlineStr">
        <is>
          <t>Compliant | Non-Compliant | Unknown</t>
        </is>
      </c>
    </row>
    <row r="64" ht="16" customHeight="1" s="4">
      <c r="A64" s="10" t="inlineStr">
        <is>
          <t>Assessment</t>
        </is>
      </c>
      <c r="B64" s="18" t="inlineStr">
        <is>
          <t>No. of Parcels</t>
        </is>
      </c>
      <c r="C64" s="11" t="inlineStr">
        <is>
          <t>1 | 2 | 3 | 4 | 5+</t>
        </is>
      </c>
    </row>
    <row r="65" ht="16" customHeight="1" s="4">
      <c r="A65" s="7" t="inlineStr">
        <is>
          <t>Income Approach Setup</t>
        </is>
      </c>
      <c r="B65" s="18" t="inlineStr">
        <is>
          <t>How many Lease Grids?</t>
        </is>
      </c>
      <c r="C65" s="8" t="inlineStr">
        <is>
          <t>1 | 2 | 3</t>
        </is>
      </c>
    </row>
    <row r="66" ht="16" customHeight="1" s="4">
      <c r="A66" s="10" t="inlineStr">
        <is>
          <t>Income Approach Setup</t>
        </is>
      </c>
      <c r="B66" s="18" t="inlineStr">
        <is>
          <t>Rental Rate Method</t>
        </is>
      </c>
      <c r="C66" s="11" t="inlineStr">
        <is>
          <t>$/SF/Mo | $/SF/Yr | $/Unit/Mo | $/Unit/Yr | $/Room/Mo</t>
        </is>
      </c>
    </row>
    <row r="67" ht="16" customHeight="1" s="4">
      <c r="A67" s="7" t="inlineStr">
        <is>
          <t>Income Approach Setup</t>
        </is>
      </c>
      <c r="B67" s="18" t="inlineStr">
        <is>
          <t>Is the subject stabilized?</t>
        </is>
      </c>
      <c r="C67" s="8" t="inlineStr">
        <is>
          <t>Yes | No</t>
        </is>
      </c>
    </row>
    <row r="68" ht="16" customHeight="1" s="4">
      <c r="A68" s="10" t="inlineStr">
        <is>
          <t>Income Approach Setup</t>
        </is>
      </c>
      <c r="B68" s="18" t="inlineStr">
        <is>
          <t>DCF Method</t>
        </is>
      </c>
      <c r="C68" s="11" t="inlineStr">
        <is>
          <t>Direct Cap Only | DCF Only | Both</t>
        </is>
      </c>
    </row>
    <row r="69" ht="16" customHeight="1" s="4">
      <c r="A69" s="7" t="inlineStr">
        <is>
          <t>Income Approach Setup</t>
        </is>
      </c>
      <c r="B69" s="18" t="inlineStr">
        <is>
          <t>Which DCF Software?</t>
        </is>
      </c>
      <c r="C69" s="8" t="inlineStr">
        <is>
          <t>Argus Enterprise | ProCalc | Excel DCF | Other</t>
        </is>
      </c>
    </row>
    <row r="70" ht="16" customHeight="1" s="4">
      <c r="A70" s="10" t="inlineStr">
        <is>
          <t>Income Approach Setup</t>
        </is>
      </c>
      <c r="B70" s="18" t="inlineStr">
        <is>
          <t>Do you have a budget?</t>
        </is>
      </c>
      <c r="C70" s="11" t="inlineStr">
        <is>
          <t>Yes | No</t>
        </is>
      </c>
    </row>
    <row r="71" ht="16" customHeight="1" s="4">
      <c r="A71" s="7" t="inlineStr">
        <is>
          <t>Income Approach Setup</t>
        </is>
      </c>
      <c r="B71" s="18" t="inlineStr">
        <is>
          <t>Lease Abstracts needed?</t>
        </is>
      </c>
      <c r="C71" s="8" t="inlineStr">
        <is>
          <t>Yes | No</t>
        </is>
      </c>
    </row>
    <row r="72" ht="16" customHeight="1" s="4">
      <c r="A72" s="10" t="inlineStr">
        <is>
          <t>Income Approach Setup</t>
        </is>
      </c>
      <c r="B72" s="18" t="inlineStr">
        <is>
          <t>Include Reserves in OpEx?</t>
        </is>
      </c>
      <c r="C72" s="11" t="inlineStr">
        <is>
          <t>Yes | No</t>
        </is>
      </c>
    </row>
    <row r="73" ht="16" customHeight="1" s="4">
      <c r="A73" s="7" t="inlineStr">
        <is>
          <t>Rent Roll Config</t>
        </is>
      </c>
      <c r="B73" s="18" t="inlineStr">
        <is>
          <t>Group by Bedroom</t>
        </is>
      </c>
      <c r="C73" s="8" t="inlineStr">
        <is>
          <t>Yes | No</t>
        </is>
      </c>
    </row>
    <row r="74" ht="16" customHeight="1" s="4">
      <c r="A74" s="10" t="inlineStr">
        <is>
          <t>Rent Roll Config</t>
        </is>
      </c>
      <c r="B74" s="18" t="inlineStr">
        <is>
          <t>Group by Bathroom</t>
        </is>
      </c>
      <c r="C74" s="11" t="inlineStr">
        <is>
          <t>Yes | No</t>
        </is>
      </c>
    </row>
    <row r="75" ht="16" customHeight="1" s="4">
      <c r="A75" s="7" t="inlineStr">
        <is>
          <t>Rent Roll Config</t>
        </is>
      </c>
      <c r="B75" s="18" t="inlineStr">
        <is>
          <t>Group by Unit Type</t>
        </is>
      </c>
      <c r="C75" s="8" t="inlineStr">
        <is>
          <t>Yes | No</t>
        </is>
      </c>
    </row>
    <row r="76" ht="16" customHeight="1" s="4">
      <c r="A76" s="10" t="inlineStr">
        <is>
          <t>Rent Roll Config</t>
        </is>
      </c>
      <c r="B76" s="18" t="inlineStr">
        <is>
          <t>Group by Renovation</t>
        </is>
      </c>
      <c r="C76" s="11" t="inlineStr">
        <is>
          <t>Yes | No</t>
        </is>
      </c>
    </row>
    <row r="77" ht="16" customHeight="1" s="4">
      <c r="A77" s="7" t="inlineStr">
        <is>
          <t>Rent Roll Config</t>
        </is>
      </c>
      <c r="B77" s="18" t="inlineStr">
        <is>
          <t>Group by SF</t>
        </is>
      </c>
      <c r="C77" s="8" t="inlineStr">
        <is>
          <t>Yes | No</t>
        </is>
      </c>
    </row>
    <row r="78" ht="16" customHeight="1" s="4">
      <c r="A78" s="10" t="inlineStr">
        <is>
          <t>Rent Roll Config</t>
        </is>
      </c>
      <c r="B78" s="18" t="inlineStr">
        <is>
          <t>Unit Name Label Source</t>
        </is>
      </c>
      <c r="C78" s="11" t="inlineStr">
        <is>
          <t>abc (alphabetical) | 123 (numeric) | Label Prefix (custom)</t>
        </is>
      </c>
    </row>
    <row r="79" ht="16" customHeight="1" s="4">
      <c r="A79" s="7" t="inlineStr">
        <is>
          <t>Rent Roll Config</t>
        </is>
      </c>
      <c r="B79" s="18" t="inlineStr">
        <is>
          <t>Affordable Flag</t>
        </is>
      </c>
      <c r="C79" s="8" t="inlineStr">
        <is>
          <t>Yes | No</t>
        </is>
      </c>
    </row>
    <row r="80" ht="16" customHeight="1" s="4">
      <c r="A80" s="10" t="inlineStr">
        <is>
          <t>Lease Grid</t>
        </is>
      </c>
      <c r="B80" s="18" t="inlineStr">
        <is>
          <t>Rent Type</t>
        </is>
      </c>
      <c r="C80" s="11" t="inlineStr">
        <is>
          <t>NNN | Gross | Modified Gross | Full Service | Base Year Stop | Other</t>
        </is>
      </c>
    </row>
    <row r="81" ht="16" customHeight="1" s="4">
      <c r="A81" s="7" t="inlineStr">
        <is>
          <t>Market Rent</t>
        </is>
      </c>
      <c r="B81" s="18" t="inlineStr">
        <is>
          <t>Each Utility — Cost Burden</t>
        </is>
      </c>
      <c r="C81" s="8" t="inlineStr">
        <is>
          <t>Tenant Paid Directly | Owner Paid | Tenant Reimburses</t>
        </is>
      </c>
    </row>
    <row r="82" ht="16" customHeight="1" s="4">
      <c r="A82" s="10" t="inlineStr">
        <is>
          <t>Capitalization and Multipliers</t>
        </is>
      </c>
      <c r="B82" s="18" t="inlineStr">
        <is>
          <t>PGI Source</t>
        </is>
      </c>
      <c r="C82" s="11" t="inlineStr">
        <is>
          <t>Rent Roll | Sales Grid | Manual Entry</t>
        </is>
      </c>
    </row>
    <row r="83" ht="16" customHeight="1" s="4">
      <c r="A83" s="7" t="inlineStr">
        <is>
          <t>Capitalization and Multipliers</t>
        </is>
      </c>
      <c r="B83" s="18" t="inlineStr">
        <is>
          <t>Type of PGI</t>
        </is>
      </c>
      <c r="C83" s="8" t="inlineStr">
        <is>
          <t>Contract &amp; Market | Market Only | Contract Only</t>
        </is>
      </c>
    </row>
    <row r="84" ht="16" customHeight="1" s="4">
      <c r="A84" s="10" t="inlineStr">
        <is>
          <t>Investor Survey Input</t>
        </is>
      </c>
      <c r="B84" s="18" t="inlineStr">
        <is>
          <t>Confidentiality</t>
        </is>
      </c>
      <c r="C84" s="11" t="inlineStr">
        <is>
          <t>Confidential | Non-Confidential</t>
        </is>
      </c>
    </row>
    <row r="85" ht="16" customHeight="1" s="4">
      <c r="A85" s="7" t="inlineStr">
        <is>
          <t>Investor Survey Input</t>
        </is>
      </c>
      <c r="B85" s="18" t="inlineStr">
        <is>
          <t>Respondent Geographic Scope</t>
        </is>
      </c>
      <c r="C85" s="8" t="inlineStr">
        <is>
          <t>National | Regional | Market</t>
        </is>
      </c>
    </row>
    <row r="86" ht="16" customHeight="1" s="4">
      <c r="A86" s="10" t="inlineStr">
        <is>
          <t>Investor Survey Output</t>
        </is>
      </c>
      <c r="B86" s="18" t="inlineStr">
        <is>
          <t>Property Type Selector</t>
        </is>
      </c>
      <c r="C86" s="11" t="inlineStr">
        <is>
          <t>Multi-Family|All | Multi-Family|Garden/Low-Rise | Multi-Family|Mid-Rise | Multi-Family|High-Rise | Retail-Commercial|All | Office|All | Industrial|All | Health Care|All | Senior Housing|All | Self-Storage|All | Lodging &amp; Hospitality|All | Shopping Center|Super Regional Center/Mall</t>
        </is>
      </c>
    </row>
    <row r="87" ht="16" customHeight="1" s="4">
      <c r="A87" s="7" t="inlineStr">
        <is>
          <t>Investor Survey Output</t>
        </is>
      </c>
      <c r="B87" s="18" t="inlineStr">
        <is>
          <t>MSA Selector</t>
        </is>
      </c>
      <c r="C87" s="8" t="inlineStr">
        <is>
          <t>San Jose, CA | San Francisco, CA | Los Angeles, CA | New York, NY | Chicago, IL | Dallas, TX | Houston, TX | Washington, DC | Boston, MA | Seattle, WA | Denver, CO | Phoenix, AZ | Atlanta, GA | Miami, FL | (+ all major US CBSAs from Geography tab)</t>
        </is>
      </c>
    </row>
    <row r="88" ht="16" customHeight="1" s="4">
      <c r="A88" s="10" t="inlineStr">
        <is>
          <t>Investor Survey Output</t>
        </is>
      </c>
      <c r="B88" s="18" t="inlineStr">
        <is>
          <t>Period End / Period Start</t>
        </is>
      </c>
      <c r="C88" s="11" t="inlineStr">
        <is>
          <t>Q1 2026 | Q4 2025 | Q3 2025 | Q2 2025 | Q1 2025 | Q4 2024 | Q3 2024 | Q2 2024 | (rolling 8-quarter window from LIST_InvestorSurveyYears)</t>
        </is>
      </c>
    </row>
    <row r="89" ht="16" customHeight="1" s="4">
      <c r="A89" s="7" t="inlineStr">
        <is>
          <t>Investor Survey Output</t>
        </is>
      </c>
      <c r="B89" s="18" t="inlineStr">
        <is>
          <t>Geographies</t>
        </is>
      </c>
      <c r="C89" s="8" t="inlineStr">
        <is>
          <t>National, Regional, Market | National, Regional | National, Market | Regional, Market | National Only | Regional Only | Market Only</t>
        </is>
      </c>
    </row>
    <row r="90" ht="16" customHeight="1" s="4">
      <c r="A90" s="10" t="inlineStr">
        <is>
          <t>DirectCapConclusion</t>
        </is>
      </c>
      <c r="B90" s="18" t="inlineStr">
        <is>
          <t>Rating per Risk Factor</t>
        </is>
      </c>
      <c r="C90" s="11" t="inlineStr">
        <is>
          <t>No Impact | Strong Upward | Upward | Downward | Strong Downward</t>
        </is>
      </c>
    </row>
    <row r="91" ht="16" customHeight="1" s="4">
      <c r="A91" s="7" t="inlineStr">
        <is>
          <t>DirectCapConclusion</t>
        </is>
      </c>
      <c r="B91" s="18" t="inlineStr">
        <is>
          <t>Cap Rate Pressure Direction</t>
        </is>
      </c>
      <c r="C91" s="8" t="inlineStr">
        <is>
          <t>No Impact (q) | Strong Upward (tu) | Upward | Downward | Strong Downward (tq)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6" customWidth="1" style="4" min="1" max="1"/>
    <col width="30" customWidth="1" style="4" min="2" max="2"/>
    <col width="45" customWidth="1" style="4" min="3" max="3"/>
    <col width="40" customWidth="1" style="4" min="4" max="4"/>
  </cols>
  <sheetData>
    <row r="1" ht="32" customHeight="1" s="4">
      <c r="A1" s="5" t="inlineStr">
        <is>
          <t>Calculated Fields — Formula Logic &amp; Dependencies</t>
        </is>
      </c>
    </row>
    <row r="2">
      <c r="A2" s="6" t="inlineStr">
        <is>
          <t>Tab Name</t>
        </is>
      </c>
      <c r="B2" s="6" t="inlineStr">
        <is>
          <t>Field Name</t>
        </is>
      </c>
      <c r="C2" s="6" t="inlineStr">
        <is>
          <t>Formula Logic / Pattern</t>
        </is>
      </c>
      <c r="D2" s="6" t="inlineStr">
        <is>
          <t>Depends On (Source Fields)</t>
        </is>
      </c>
    </row>
    <row r="3" ht="22" customHeight="1" s="4">
      <c r="A3" s="7" t="inlineStr">
        <is>
          <t>File Info</t>
        </is>
      </c>
      <c r="B3" s="20" t="inlineStr">
        <is>
          <t>State Name</t>
        </is>
      </c>
      <c r="C3" s="21">
        <f>INDEX(state_table, MATCH(StateAbbr, state_abbr_col, 0))</f>
        <v/>
      </c>
      <c r="D3" s="8" t="inlineStr">
        <is>
          <t>State Abbreviation dropdown selection</t>
        </is>
      </c>
    </row>
    <row r="4" ht="22" customHeight="1" s="4">
      <c r="A4" s="10" t="inlineStr">
        <is>
          <t>File Info</t>
        </is>
      </c>
      <c r="B4" s="20" t="inlineStr">
        <is>
          <t>Full Address (N1Address)</t>
        </is>
      </c>
      <c r="C4" s="21">
        <f>TEXTJOIN(", ", TRUE, Address, City, StateAbbr, Zip)</f>
        <v/>
      </c>
      <c r="D4" s="11" t="inlineStr">
        <is>
          <t>Address, City, State Abbreviation, Zip fields</t>
        </is>
      </c>
    </row>
    <row r="5" ht="22" customHeight="1" s="4">
      <c r="A5" s="7" t="inlineStr">
        <is>
          <t>File Info</t>
        </is>
      </c>
      <c r="B5" s="20" t="inlineStr">
        <is>
          <t>Contract Total</t>
        </is>
      </c>
      <c r="C5" s="21">
        <f>SUM(Fee, Fee2, InspectionFee)</f>
        <v/>
      </c>
      <c r="D5" s="8" t="inlineStr">
        <is>
          <t>Fee, Fee 2, Inspection Fee</t>
        </is>
      </c>
    </row>
    <row r="6" ht="22" customHeight="1" s="4">
      <c r="A6" s="10" t="inlineStr">
        <is>
          <t>File Info</t>
        </is>
      </c>
      <c r="B6" s="20" t="inlineStr">
        <is>
          <t>pvaPropertyTypeKey (composite)</t>
        </is>
      </c>
      <c r="C6" s="21">
        <f>MajorType &amp; "|" &amp; SubType  (e.g. 'Multi-Family|All')</f>
        <v/>
      </c>
      <c r="D6" s="11" t="inlineStr">
        <is>
          <t>Property Major Type + Property Type subtype</t>
        </is>
      </c>
    </row>
    <row r="7" ht="22" customHeight="1" s="4">
      <c r="A7" s="7" t="inlineStr">
        <is>
          <t>Site</t>
        </is>
      </c>
      <c r="B7" s="20" t="inlineStr">
        <is>
          <t>Land Area (SF)</t>
        </is>
      </c>
      <c r="C7" s="21">
        <f>Acres × 43,560</f>
        <v/>
      </c>
      <c r="D7" s="8" t="inlineStr">
        <is>
          <t>Parcel N — Land Area (Acres)</t>
        </is>
      </c>
    </row>
    <row r="8" ht="22" customHeight="1" s="4">
      <c r="A8" s="10" t="inlineStr">
        <is>
          <t>Improvements</t>
        </is>
      </c>
      <c r="B8" s="20" t="inlineStr">
        <is>
          <t>Avg Unit Size (SF)</t>
        </is>
      </c>
      <c r="C8" s="21">
        <f>NRA ÷ Number of Units</f>
        <v/>
      </c>
      <c r="D8" s="11" t="inlineStr">
        <is>
          <t>Building N — NRA, Number of Units</t>
        </is>
      </c>
    </row>
    <row r="9" ht="22" customHeight="1" s="4">
      <c r="A9" s="7" t="inlineStr">
        <is>
          <t>Improvements</t>
        </is>
      </c>
      <c r="B9" s="20" t="inlineStr">
        <is>
          <t>Parking Ratio</t>
        </is>
      </c>
      <c r="C9" s="21">
        <f>ParkingSpaces ÷ Units  (MF) or  ÷ (GBA/1000) (commercial)</f>
        <v/>
      </c>
      <c r="D9" s="8" t="inlineStr">
        <is>
          <t>Parking Spaces, Units or GBA</t>
        </is>
      </c>
    </row>
    <row r="10" ht="22" customHeight="1" s="4">
      <c r="A10" s="10" t="inlineStr">
        <is>
          <t>Improvements</t>
        </is>
      </c>
      <c r="B10" s="20" t="inlineStr">
        <is>
          <t>Remaining Economic Life</t>
        </is>
      </c>
      <c r="C10" s="21">
        <f>TotalEconomicLife − EffectiveAge</f>
        <v/>
      </c>
      <c r="D10" s="11" t="inlineStr">
        <is>
          <t>Total Economic Life, Effective Age</t>
        </is>
      </c>
    </row>
    <row r="11" ht="22" customHeight="1" s="4">
      <c r="A11" s="7" t="inlineStr">
        <is>
          <t>Assessment</t>
        </is>
      </c>
      <c r="B11" s="20" t="inlineStr">
        <is>
          <t>Total Assessment</t>
        </is>
      </c>
      <c r="C11" s="21">
        <f>LandAssessment + ImprovementAssessment</f>
        <v/>
      </c>
      <c r="D11" s="8" t="inlineStr">
        <is>
          <t>Land Assessment, Improvement Assessment per parcel</t>
        </is>
      </c>
    </row>
    <row r="12" ht="22" customHeight="1" s="4">
      <c r="A12" s="10" t="inlineStr">
        <is>
          <t>Assessment</t>
        </is>
      </c>
      <c r="B12" s="20" t="inlineStr">
        <is>
          <t>Indicated Market Value</t>
        </is>
      </c>
      <c r="C12" s="21">
        <f>TotalAssessment ÷ AssessmentRatio</f>
        <v/>
      </c>
      <c r="D12" s="11" t="inlineStr">
        <is>
          <t>Total Assessment, Assessment Ratio</t>
        </is>
      </c>
    </row>
    <row r="13" ht="22" customHeight="1" s="4">
      <c r="A13" s="7" t="inlineStr">
        <is>
          <t>Assessment</t>
        </is>
      </c>
      <c r="B13" s="20" t="inlineStr">
        <is>
          <t>Annual Taxes</t>
        </is>
      </c>
      <c r="C13" s="21">
        <f>TotalAssessment × TaxRate</f>
        <v/>
      </c>
      <c r="D13" s="8" t="inlineStr">
        <is>
          <t>Total Assessment, Tax Rate</t>
        </is>
      </c>
    </row>
    <row r="14" ht="22" customHeight="1" s="4">
      <c r="A14" s="10" t="inlineStr">
        <is>
          <t>Assessment</t>
        </is>
      </c>
      <c r="B14" s="20" t="inlineStr">
        <is>
          <t>Taxes per Unit</t>
        </is>
      </c>
      <c r="C14" s="21">
        <f>AnnualTaxes ÷ Units</f>
        <v/>
      </c>
      <c r="D14" s="11" t="inlineStr">
        <is>
          <t>Annual Taxes (Assessment), Number of Units (Improvements)</t>
        </is>
      </c>
    </row>
    <row r="15" ht="22" customHeight="1" s="4">
      <c r="A15" s="7" t="inlineStr">
        <is>
          <t>Assessment</t>
        </is>
      </c>
      <c r="B15" s="20" t="inlineStr">
        <is>
          <t>Taxes per SF</t>
        </is>
      </c>
      <c r="C15" s="21">
        <f>AnnualTaxes ÷ GBA</f>
        <v/>
      </c>
      <c r="D15" s="8" t="inlineStr">
        <is>
          <t>Annual Taxes (Assessment), GBA (Improvements)</t>
        </is>
      </c>
    </row>
    <row r="16" ht="22" customHeight="1" s="4">
      <c r="A16" s="10" t="inlineStr">
        <is>
          <t>Land Grid</t>
        </is>
      </c>
      <c r="B16" s="20" t="inlineStr">
        <is>
          <t>Land Area (Acres)</t>
        </is>
      </c>
      <c r="C16" s="21">
        <f>LandSF ÷ 43,560</f>
        <v/>
      </c>
      <c r="D16" s="11" t="inlineStr">
        <is>
          <t>Comp N — Land Area (SF)</t>
        </is>
      </c>
    </row>
    <row r="17" ht="22" customHeight="1" s="4">
      <c r="A17" s="7" t="inlineStr">
        <is>
          <t>Land Grid</t>
        </is>
      </c>
      <c r="B17" s="20" t="inlineStr">
        <is>
          <t>Adjusted Price</t>
        </is>
      </c>
      <c r="C17" s="21">
        <f>SalePrice + PriceAdjustment</f>
        <v/>
      </c>
      <c r="D17" s="8" t="inlineStr">
        <is>
          <t>Comp N — Sale Price, Price Adjustment</t>
        </is>
      </c>
    </row>
    <row r="18" ht="22" customHeight="1" s="4">
      <c r="A18" s="10" t="inlineStr">
        <is>
          <t>Land Grid</t>
        </is>
      </c>
      <c r="B18" s="20" t="inlineStr">
        <is>
          <t>Price/SF</t>
        </is>
      </c>
      <c r="C18" s="21">
        <f>AdjustedPrice ÷ LandSF</f>
        <v/>
      </c>
      <c r="D18" s="11" t="inlineStr">
        <is>
          <t>Adjusted Price, Land SF</t>
        </is>
      </c>
    </row>
    <row r="19" ht="22" customHeight="1" s="4">
      <c r="A19" s="7" t="inlineStr">
        <is>
          <t>Land Grid</t>
        </is>
      </c>
      <c r="B19" s="20" t="inlineStr">
        <is>
          <t>Price/Acre</t>
        </is>
      </c>
      <c r="C19" s="21">
        <f>AdjustedPrice ÷ Acres</f>
        <v/>
      </c>
      <c r="D19" s="8" t="inlineStr">
        <is>
          <t>Adjusted Price, Land Acres</t>
        </is>
      </c>
    </row>
    <row r="20" ht="22" customHeight="1" s="4">
      <c r="A20" s="10" t="inlineStr">
        <is>
          <t>Land Grid</t>
        </is>
      </c>
      <c r="B20" s="20" t="inlineStr">
        <is>
          <t>Net Adjustment</t>
        </is>
      </c>
      <c r="C20" s="21">
        <f>SUM(all adjustment rows per comp)</f>
        <v/>
      </c>
      <c r="D20" s="11" t="inlineStr">
        <is>
          <t>All adjustment rows for that comp</t>
        </is>
      </c>
    </row>
    <row r="21" ht="22" customHeight="1" s="4">
      <c r="A21" s="7" t="inlineStr">
        <is>
          <t>Sales Grid</t>
        </is>
      </c>
      <c r="B21" s="20" t="inlineStr">
        <is>
          <t>Price/Unit</t>
        </is>
      </c>
      <c r="C21" s="21">
        <f>SalePrice ÷ Units</f>
        <v/>
      </c>
      <c r="D21" s="8" t="inlineStr">
        <is>
          <t>Sale Price, Number of Units</t>
        </is>
      </c>
    </row>
    <row r="22" ht="22" customHeight="1" s="4">
      <c r="A22" s="10" t="inlineStr">
        <is>
          <t>Sales Grid</t>
        </is>
      </c>
      <c r="B22" s="20" t="inlineStr">
        <is>
          <t>Price/SF</t>
        </is>
      </c>
      <c r="C22" s="21">
        <f>SalePrice ÷ GBA</f>
        <v/>
      </c>
      <c r="D22" s="11" t="inlineStr">
        <is>
          <t>Sale Price, GBA</t>
        </is>
      </c>
    </row>
    <row r="23" ht="22" customHeight="1" s="4">
      <c r="A23" s="7" t="inlineStr">
        <is>
          <t>Sales Grid</t>
        </is>
      </c>
      <c r="B23" s="20" t="inlineStr">
        <is>
          <t>Adjusted Price/Unit</t>
        </is>
      </c>
      <c r="C23" s="21">
        <f>Price/Unit + NetAdjustment (per unit basis)</f>
        <v/>
      </c>
      <c r="D23" s="8" t="inlineStr">
        <is>
          <t>Price/Unit, Net Adjustment</t>
        </is>
      </c>
    </row>
    <row r="24" ht="22" customHeight="1" s="4">
      <c r="A24" s="10" t="inlineStr">
        <is>
          <t>MF Market Rent</t>
        </is>
      </c>
      <c r="B24" s="20" t="inlineStr">
        <is>
          <t>Rentable Area (SF)</t>
        </is>
      </c>
      <c r="C24" s="21">
        <f>NumUnits × AvgSF</f>
        <v/>
      </c>
      <c r="D24" s="11" t="inlineStr">
        <is>
          <t># of Units, Avg. Size (SF)</t>
        </is>
      </c>
    </row>
    <row r="25" ht="22" customHeight="1" s="4">
      <c r="A25" s="7" t="inlineStr">
        <is>
          <t>MF Market Rent</t>
        </is>
      </c>
      <c r="B25" s="20" t="inlineStr">
        <is>
          <t>Occupancy (Leased/Model/Employee/Vacant)</t>
        </is>
      </c>
      <c r="C25" s="21">
        <f>COUNTIF(RentRollMaster, status=X) per unit type</f>
        <v/>
      </c>
      <c r="D25" s="8" t="inlineStr">
        <is>
          <t>Rent Roll Master occupancy status per unit</t>
        </is>
      </c>
    </row>
    <row r="26" ht="22" customHeight="1" s="4">
      <c r="A26" s="10" t="inlineStr">
        <is>
          <t>MF Market Rent</t>
        </is>
      </c>
      <c r="B26" s="20" t="inlineStr">
        <is>
          <t>% Units Vacant</t>
        </is>
      </c>
      <c r="C26" s="21">
        <f>VacantUnits ÷ TotalUnits</f>
        <v/>
      </c>
      <c r="D26" s="11" t="inlineStr">
        <is>
          <t>Occupied/Vacant counts from Rent Roll Master</t>
        </is>
      </c>
    </row>
    <row r="27" ht="22" customHeight="1" s="4">
      <c r="A27" s="7" t="inlineStr">
        <is>
          <t>MF Market Rent</t>
        </is>
      </c>
      <c r="B27" s="20" t="inlineStr">
        <is>
          <t>Total Asking</t>
        </is>
      </c>
      <c r="C27" s="21">
        <f>AskingRent × NumUnits</f>
        <v/>
      </c>
      <c r="D27" s="8" t="inlineStr">
        <is>
          <t>Asking Rent, # of Units</t>
        </is>
      </c>
    </row>
    <row r="28" ht="22" customHeight="1" s="4">
      <c r="A28" s="10" t="inlineStr">
        <is>
          <t>MF Market Rent</t>
        </is>
      </c>
      <c r="B28" s="20" t="inlineStr">
        <is>
          <t>Total Contract</t>
        </is>
      </c>
      <c r="C28" s="21">
        <f>ContractRent × NumUnits</f>
        <v/>
      </c>
      <c r="D28" s="11" t="inlineStr">
        <is>
          <t>Contract Rent, # of Units</t>
        </is>
      </c>
    </row>
    <row r="29" ht="22" customHeight="1" s="4">
      <c r="A29" s="7" t="inlineStr">
        <is>
          <t>MF Market Rent</t>
        </is>
      </c>
      <c r="B29" s="20" t="inlineStr">
        <is>
          <t>Avg. PSF — Asking</t>
        </is>
      </c>
      <c r="C29" s="21">
        <f>AskingRent ÷ AvgSF</f>
        <v/>
      </c>
      <c r="D29" s="8" t="inlineStr">
        <is>
          <t>Asking Rent per unit, Avg SF</t>
        </is>
      </c>
    </row>
    <row r="30" ht="22" customHeight="1" s="4">
      <c r="A30" s="10" t="inlineStr">
        <is>
          <t>MF Market Rent</t>
        </is>
      </c>
      <c r="B30" s="20" t="inlineStr">
        <is>
          <t>Pro Forma EGI</t>
        </is>
      </c>
      <c r="C30" s="21">
        <f>SUM(TotalAskingRent all unit types) × (1 − StabilizedVacancy)</f>
        <v/>
      </c>
      <c r="D30" s="11" t="inlineStr">
        <is>
          <t>Total Asking across all unit types, vacancy assumption</t>
        </is>
      </c>
    </row>
    <row r="31" ht="22" customHeight="1" s="4">
      <c r="A31" s="7" t="inlineStr">
        <is>
          <t>Capitalization and Multipliers</t>
        </is>
      </c>
      <c r="B31" s="20" t="inlineStr">
        <is>
          <t>Potential Gross Income</t>
        </is>
      </c>
      <c r="C31" s="21">
        <f>SUM(all income lines)</f>
        <v/>
      </c>
      <c r="D31" s="8" t="inlineStr">
        <is>
          <t>Total Rental Income, Expense Reimbursements, Parking, Other Income</t>
        </is>
      </c>
    </row>
    <row r="32" ht="22" customHeight="1" s="4">
      <c r="A32" s="10" t="inlineStr">
        <is>
          <t>Capitalization and Multipliers</t>
        </is>
      </c>
      <c r="B32" s="20" t="inlineStr">
        <is>
          <t>Vacancy &amp; Credit Loss $</t>
        </is>
      </c>
      <c r="C32" s="21">
        <f>PGI × VacancyPct</f>
        <v/>
      </c>
      <c r="D32" s="11" t="inlineStr">
        <is>
          <t>PGI, Vacancy &amp; Credit Loss %</t>
        </is>
      </c>
    </row>
    <row r="33" ht="22" customHeight="1" s="4">
      <c r="A33" s="7" t="inlineStr">
        <is>
          <t>Capitalization and Multipliers</t>
        </is>
      </c>
      <c r="B33" s="20" t="inlineStr">
        <is>
          <t>Effective Gross Income</t>
        </is>
      </c>
      <c r="C33" s="21">
        <f>PGI − VacancyDollar</f>
        <v/>
      </c>
      <c r="D33" s="8" t="inlineStr">
        <is>
          <t>PGI, V&amp;CL $</t>
        </is>
      </c>
    </row>
    <row r="34" ht="22" customHeight="1" s="4">
      <c r="A34" s="10" t="inlineStr">
        <is>
          <t>Capitalization and Multipliers</t>
        </is>
      </c>
      <c r="B34" s="20" t="inlineStr">
        <is>
          <t>Real Estate Taxes</t>
        </is>
      </c>
      <c r="C34" s="21">
        <f>SUM(AnnualTaxes from Assessment tab)</f>
        <v/>
      </c>
      <c r="D34" s="11" t="inlineStr">
        <is>
          <t>Assessment tab — Annual Taxes total</t>
        </is>
      </c>
    </row>
    <row r="35" ht="22" customHeight="1" s="4">
      <c r="A35" s="7" t="inlineStr">
        <is>
          <t>Capitalization and Multipliers</t>
        </is>
      </c>
      <c r="B35" s="20" t="inlineStr">
        <is>
          <t>Total Operating Expenses</t>
        </is>
      </c>
      <c r="C35" s="21">
        <f>SUM(all OpEx category lines)</f>
        <v/>
      </c>
      <c r="D35" s="8" t="inlineStr">
        <is>
          <t>All individual expense lines</t>
        </is>
      </c>
    </row>
    <row r="36" ht="22" customHeight="1" s="4">
      <c r="A36" s="10" t="inlineStr">
        <is>
          <t>Capitalization and Multipliers</t>
        </is>
      </c>
      <c r="B36" s="20" t="inlineStr">
        <is>
          <t>Net Operating Income</t>
        </is>
      </c>
      <c r="C36" s="21">
        <f>EGI − TotalOpEx</f>
        <v/>
      </c>
      <c r="D36" s="11" t="inlineStr">
        <is>
          <t>EGI, Total OpEx</t>
        </is>
      </c>
    </row>
    <row r="37" ht="22" customHeight="1" s="4">
      <c r="A37" s="7" t="inlineStr">
        <is>
          <t>Capitalization and Multipliers</t>
        </is>
      </c>
      <c r="B37" s="20" t="inlineStr">
        <is>
          <t>Indicated Value via Direct Cap</t>
        </is>
      </c>
      <c r="C37" s="21">
        <f>NOI ÷ CapRate. Written words: =@Spell(N1DirCapValue, refCell)</f>
        <v/>
      </c>
      <c r="D37" s="8" t="inlineStr">
        <is>
          <t>NOI, Selected Cap Rate</t>
        </is>
      </c>
    </row>
    <row r="38" ht="22" customHeight="1" s="4">
      <c r="A38" s="10" t="inlineStr">
        <is>
          <t>Capitalization and Multipliers</t>
        </is>
      </c>
      <c r="B38" s="20" t="inlineStr">
        <is>
          <t>MSA (auto)</t>
        </is>
      </c>
      <c r="C38" s="21">
        <f>IFERROR(INDEX(tblPwC_MSA[MSA Short Name], MATCH(pvaCbsaId, tblPwC_MSA[CBSA_ID], 0)), "")</f>
        <v/>
      </c>
      <c r="D38" s="11" t="inlineStr">
        <is>
          <t>pvaCbsaId (from DB import via Subject ID)</t>
        </is>
      </c>
    </row>
    <row r="39" ht="22" customHeight="1" s="4">
      <c r="A39" s="7" t="inlineStr">
        <is>
          <t>Capitalization and Multipliers</t>
        </is>
      </c>
      <c r="B39" s="20" t="inlineStr">
        <is>
          <t>Period End (auto)</t>
        </is>
      </c>
      <c r="C39" s="21">
        <f>LET(useDate, TODAY()-45, testQuarter, MONTH(useDate), …) → current quarter</f>
        <v/>
      </c>
      <c r="D39" s="8" t="inlineStr">
        <is>
          <t>System date (TODAY())</t>
        </is>
      </c>
    </row>
    <row r="40" ht="22" customHeight="1" s="4">
      <c r="A40" s="10" t="inlineStr">
        <is>
          <t>Investor Survey Output</t>
        </is>
      </c>
      <c r="B40" s="20" t="inlineStr">
        <is>
          <t>Cap Rate Ranges</t>
        </is>
      </c>
      <c r="C40" s="21">
        <f>hideblankorerror(IF(ISNUMBER(SEARCH(pvaAPI_InvestorSurvey_Geographies, …)), INDEX(tblInvestorSurvey, …)))</f>
        <v/>
      </c>
      <c r="D40" s="11" t="inlineStr">
        <is>
          <t>tblInvestorSurvey data, geography filter, property type, period selectors</t>
        </is>
      </c>
    </row>
    <row r="41" ht="22" customHeight="1" s="4">
      <c r="A41" s="7" t="inlineStr">
        <is>
          <t>Investor Survey Output</t>
        </is>
      </c>
      <c r="B41" s="20" t="inlineStr">
        <is>
          <t>Period End (auto-calc)</t>
        </is>
      </c>
      <c r="C41" s="21">
        <f>LET(useDate,TODAY()-45, … → formats as 'Q1 2026')</f>
        <v/>
      </c>
      <c r="D41" s="8" t="inlineStr">
        <is>
          <t>TODAY() function</t>
        </is>
      </c>
    </row>
    <row r="42" ht="22" customHeight="1" s="4">
      <c r="A42" s="10" t="inlineStr">
        <is>
          <t>MF Lease Up</t>
        </is>
      </c>
      <c r="B42" s="20" t="inlineStr">
        <is>
          <t>Forecast EGI (monthly)</t>
        </is>
      </c>
      <c r="C42" s="21">
        <f>ProFormaEGI × ForecastPctEGI</f>
        <v/>
      </c>
      <c r="D42" s="11" t="inlineStr">
        <is>
          <t>Pro Forma EGI (from MF Market Rent), Monthly Forecast % EGI Earned</t>
        </is>
      </c>
    </row>
    <row r="43" ht="22" customHeight="1" s="4">
      <c r="A43" s="7" t="inlineStr">
        <is>
          <t>MF Lease Up</t>
        </is>
      </c>
      <c r="B43" s="20" t="inlineStr">
        <is>
          <t>Forecast Expenses (monthly)</t>
        </is>
      </c>
      <c r="C43" s="21">
        <f>ProFormaExpenses × ForecastPctExpenses</f>
        <v/>
      </c>
      <c r="D43" s="8" t="inlineStr">
        <is>
          <t>Pro Forma Expenses (from Cap &amp; Mult), Monthly Forecast % Expenses</t>
        </is>
      </c>
    </row>
    <row r="44" ht="22" customHeight="1" s="4">
      <c r="A44" s="10" t="inlineStr">
        <is>
          <t>MF Lease Up</t>
        </is>
      </c>
      <c r="B44" s="20" t="inlineStr">
        <is>
          <t>Forecast NOI (monthly)</t>
        </is>
      </c>
      <c r="C44" s="21">
        <f>ForecastEGI − ForecastExpenses</f>
        <v/>
      </c>
      <c r="D44" s="11" t="inlineStr">
        <is>
          <t>Forecast EGI, Forecast Expenses</t>
        </is>
      </c>
    </row>
    <row r="45" ht="22" customHeight="1" s="4">
      <c r="A45" s="7" t="inlineStr">
        <is>
          <t>MF Lease Up</t>
        </is>
      </c>
      <c r="B45" s="20" t="inlineStr">
        <is>
          <t>NOI Loss (monthly)</t>
        </is>
      </c>
      <c r="C45" s="21">
        <f>ProFormaNOI − ForecastNOI</f>
        <v/>
      </c>
      <c r="D45" s="8" t="inlineStr">
        <is>
          <t>Pro Forma NOI, Forecast NOI</t>
        </is>
      </c>
    </row>
    <row r="46" ht="22" customHeight="1" s="4">
      <c r="A46" s="10" t="inlineStr">
        <is>
          <t>MF Lease Up</t>
        </is>
      </c>
      <c r="B46" s="20" t="inlineStr">
        <is>
          <t>PV of NOI Loss</t>
        </is>
      </c>
      <c r="C46" s="21">
        <f>NPV(DiscountRate/12, NOILoss1:NOILossN)</f>
        <v/>
      </c>
      <c r="D46" s="11" t="inlineStr">
        <is>
          <t>All monthly NOI Loss values, PV Discount Rate</t>
        </is>
      </c>
    </row>
    <row r="47" ht="22" customHeight="1" s="4">
      <c r="A47" s="7" t="inlineStr">
        <is>
          <t>DirectCapConclusion</t>
        </is>
      </c>
      <c r="B47" s="20" t="inlineStr">
        <is>
          <t>Overall Cap Rate Pressure</t>
        </is>
      </c>
      <c r="C47" s="21" t="inlineStr">
        <is>
          <t>Composite of all risk factor Rating dropdown selections → trend analysis</t>
        </is>
      </c>
      <c r="D47" s="8" t="inlineStr">
        <is>
          <t>All 7 Risk Factor Rating fields</t>
        </is>
      </c>
    </row>
    <row r="48" ht="22" customHeight="1" s="4">
      <c r="A48" s="10" t="inlineStr">
        <is>
          <t>DirectCapConclusion</t>
        </is>
      </c>
      <c r="B48" s="20" t="inlineStr">
        <is>
          <t>Direct Cap Indicated Value</t>
        </is>
      </c>
      <c r="C48" s="21">
        <f>NOI ÷ SelectedCapRate</f>
        <v/>
      </c>
      <c r="D48" s="11" t="inlineStr">
        <is>
          <t>NOI (from Cap &amp; Mult), Selected Cap Rate</t>
        </is>
      </c>
    </row>
    <row r="49" ht="22" customHeight="1" s="4">
      <c r="A49" s="7" t="inlineStr">
        <is>
          <t>DirectCapConclusion</t>
        </is>
      </c>
      <c r="B49" s="20" t="inlineStr">
        <is>
          <t>Lease-Up Discount</t>
        </is>
      </c>
      <c r="C49" s="21">
        <f>PV_of_NOI_Loss (linked from MF Lease Up)</f>
        <v/>
      </c>
      <c r="D49" s="8" t="inlineStr">
        <is>
          <t>MF Lease Up — PV of NOI Loss total</t>
        </is>
      </c>
    </row>
    <row r="50" ht="22" customHeight="1" s="4">
      <c r="A50" s="10" t="inlineStr">
        <is>
          <t>DirectCapConclusion</t>
        </is>
      </c>
      <c r="B50" s="20" t="inlineStr">
        <is>
          <t>As-Is Value (Concluded)</t>
        </is>
      </c>
      <c r="C50" s="21">
        <f>DirectCapValue − LeaseUpDiscount. Written words: =@Spell(N1AsIsValue, refCell)</f>
        <v/>
      </c>
      <c r="D50" s="11" t="inlineStr">
        <is>
          <t>Direct Cap Indicated Value, Lease-Up Discount</t>
        </is>
      </c>
    </row>
    <row r="51" ht="22" customHeight="1" s="4">
      <c r="A51" s="7" t="inlineStr">
        <is>
          <t>DirectCapConclusion</t>
        </is>
      </c>
      <c r="B51" s="20" t="inlineStr">
        <is>
          <t>Historical NOI summary rows</t>
        </is>
      </c>
      <c r="C51" s="21">
        <f>linked from Cap &amp; Mult historical columns (T-12, Year-1 through Year-6, YTD)</f>
        <v/>
      </c>
      <c r="D51" s="8" t="inlineStr">
        <is>
          <t>Capitalization and Multipliers historical statement columns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6" customWidth="1" style="4" min="1" max="1"/>
    <col width="28" customWidth="1" style="4" min="2" max="2"/>
    <col width="20" customWidth="1" style="4" min="3" max="3"/>
    <col width="50" customWidth="1" style="4" min="4" max="4"/>
  </cols>
  <sheetData>
    <row r="1" ht="32" customHeight="1" s="4">
      <c r="A1" s="5" t="inlineStr">
        <is>
          <t>Tab Relationships — Inter-Tab Dependencies</t>
        </is>
      </c>
    </row>
    <row r="2">
      <c r="A2" s="6" t="inlineStr">
        <is>
          <t>Source Tab</t>
        </is>
      </c>
      <c r="B2" s="6" t="inlineStr">
        <is>
          <t>Target Tab</t>
        </is>
      </c>
      <c r="C2" s="6" t="inlineStr">
        <is>
          <t>Relationship Type</t>
        </is>
      </c>
      <c r="D2" s="6" t="inlineStr">
        <is>
          <t>What Flows / How Connected</t>
        </is>
      </c>
    </row>
    <row r="3" ht="28" customHeight="1" s="4">
      <c r="A3" s="7" t="inlineStr">
        <is>
          <t>File Info (Subject ID)</t>
        </is>
      </c>
      <c r="B3" s="20" t="inlineStr">
        <is>
          <t>ALL 27 other tabs</t>
        </is>
      </c>
      <c r="C3" s="22" t="inlineStr">
        <is>
          <t>Auto-populates</t>
        </is>
      </c>
      <c r="D3" s="8" t="inlineStr">
        <is>
          <t>Subject ID (I13=259729) is the DB record key. VBA macros use this to auto-import property details, income data, and comp records across entire workbook.</t>
        </is>
      </c>
    </row>
    <row r="4" ht="28" customHeight="1" s="4">
      <c r="A4" s="10" t="inlineStr">
        <is>
          <t>File Info (Property Major Type)</t>
        </is>
      </c>
      <c r="B4" s="20" t="inlineStr">
        <is>
          <t>Settings</t>
        </is>
      </c>
      <c r="C4" s="23" t="inlineStr">
        <is>
          <t>Drives</t>
        </is>
      </c>
      <c r="D4" s="11" t="inlineStr">
        <is>
          <t>Property Major Type selection cascades to Settings to set pvaPropertyTypeKey composite (e.g. 'Multi-Family|All'). This key then drives ALL other tabs.</t>
        </is>
      </c>
    </row>
    <row r="5" ht="28" customHeight="1" s="4">
      <c r="A5" s="7" t="inlineStr">
        <is>
          <t>Settings (pvaPropertyTypeKey)</t>
        </is>
      </c>
      <c r="B5" s="20" t="inlineStr">
        <is>
          <t>Site, Zoning, Improvements, Sales Grid, Lease Grid, MF Market Rent, all Comp Profile tabs</t>
        </is>
      </c>
      <c r="C5" s="23" t="inlineStr">
        <is>
          <t>Drives</t>
        </is>
      </c>
      <c r="D5" s="8" t="inlineStr">
        <is>
          <t>Row 1 (or row 19) in each tab contains the property type key. VBA Show/Hide macros read this key to show/hide property-specific columns in every user-facing tab.</t>
        </is>
      </c>
    </row>
    <row r="6" ht="28" customHeight="1" s="4">
      <c r="A6" s="10" t="inlineStr">
        <is>
          <t>Settings (Cost Approach = Yes)</t>
        </is>
      </c>
      <c r="B6" s="20" t="inlineStr">
        <is>
          <t>Land Grid, Land Valuation, Land Comp Profiles, Cost Approach Setup</t>
        </is>
      </c>
      <c r="C6" s="24" t="inlineStr">
        <is>
          <t>Configures</t>
        </is>
      </c>
      <c r="D6" s="11" t="inlineStr">
        <is>
          <t>Activates entire cost approach tab group. If No, those tabs are hidden.</t>
        </is>
      </c>
    </row>
    <row r="7" ht="28" customHeight="1" s="4">
      <c r="A7" s="7" t="inlineStr">
        <is>
          <t>Settings (Sales Approach = Yes)</t>
        </is>
      </c>
      <c r="B7" s="20" t="inlineStr">
        <is>
          <t>Sales Grid, Sale Comp Profiles, Sales Approach</t>
        </is>
      </c>
      <c r="C7" s="24" t="inlineStr">
        <is>
          <t>Configures</t>
        </is>
      </c>
      <c r="D7" s="8" t="inlineStr">
        <is>
          <t>Activates sales comparison tab group.</t>
        </is>
      </c>
    </row>
    <row r="8" ht="28" customHeight="1" s="4">
      <c r="A8" s="10" t="inlineStr">
        <is>
          <t>Settings (Income Approach = Yes)</t>
        </is>
      </c>
      <c r="B8" s="20" t="inlineStr">
        <is>
          <t>Income Approach Setup, Rent Roll Input/Config, Lease Grid(s), Market Rent, MF Market Rent, Cap &amp; Mult, Investor Survey, MF Lease Up, DirectCapConclusion</t>
        </is>
      </c>
      <c r="C8" s="24" t="inlineStr">
        <is>
          <t>Configures</t>
        </is>
      </c>
      <c r="D8" s="11" t="inlineStr">
        <is>
          <t>Activates all income approach tabs.</t>
        </is>
      </c>
    </row>
    <row r="9" ht="28" customHeight="1" s="4">
      <c r="A9" s="7" t="inlineStr">
        <is>
          <t>Settings (Is Proposed = Yes)</t>
        </is>
      </c>
      <c r="B9" s="20" t="inlineStr">
        <is>
          <t>Dates/Premises, MF Lease Up</t>
        </is>
      </c>
      <c r="C9" s="24" t="inlineStr">
        <is>
          <t>Configures</t>
        </is>
      </c>
      <c r="D9" s="8" t="inlineStr">
        <is>
          <t>Adds Upon Completion / As Stabilized premises; activates MF Lease Up.</t>
        </is>
      </c>
    </row>
    <row r="10" ht="28" customHeight="1" s="4">
      <c r="A10" s="10" t="inlineStr">
        <is>
          <t>Settings (QtyLeaseGrids)</t>
        </is>
      </c>
      <c r="B10" s="20" t="inlineStr">
        <is>
          <t>Lease Grid, Market Rent, Rent Comp Profiles</t>
        </is>
      </c>
      <c r="C10" s="24" t="inlineStr">
        <is>
          <t>Configures</t>
        </is>
      </c>
      <c r="D10" s="11" t="inlineStr">
        <is>
          <t>Activates 1, 2, or 3 instances of Lease Grid + Market Rent + Rent Comp Profiles groups.</t>
        </is>
      </c>
    </row>
    <row r="11" ht="28" customHeight="1" s="4">
      <c r="A11" s="7" t="inlineStr">
        <is>
          <t>Settings (IsStabilized = No)</t>
        </is>
      </c>
      <c r="B11" s="20" t="inlineStr">
        <is>
          <t>MF Lease Up</t>
        </is>
      </c>
      <c r="C11" s="24" t="inlineStr">
        <is>
          <t>Configures</t>
        </is>
      </c>
      <c r="D11" s="8" t="inlineStr">
        <is>
          <t>Activates MF Lease Up tab for lease-up discount calculation.</t>
        </is>
      </c>
    </row>
    <row r="12" ht="28" customHeight="1" s="4">
      <c r="A12" s="10" t="inlineStr">
        <is>
          <t>Assessment</t>
        </is>
      </c>
      <c r="B12" s="20" t="inlineStr">
        <is>
          <t>Capitalization and Multipliers</t>
        </is>
      </c>
      <c r="C12" s="25" t="inlineStr">
        <is>
          <t>Feeds</t>
        </is>
      </c>
      <c r="D12" s="11" t="inlineStr">
        <is>
          <t>Annual Taxes total auto-populates Real Estate Taxes line in Cap &amp; Mult Operating Expenses.</t>
        </is>
      </c>
    </row>
    <row r="13" ht="28" customHeight="1" s="4">
      <c r="A13" s="7" t="inlineStr">
        <is>
          <t>Improvements</t>
        </is>
      </c>
      <c r="B13" s="20" t="inlineStr">
        <is>
          <t>Sales Grid, Cost Approach Setup, MF Market Rent</t>
        </is>
      </c>
      <c r="C13" s="25" t="inlineStr">
        <is>
          <t>Feeds</t>
        </is>
      </c>
      <c r="D13" s="8" t="inlineStr">
        <is>
          <t>GBA, NRA, unit count, building count flow into subject headers for comps analysis and income analysis.</t>
        </is>
      </c>
    </row>
    <row r="14" ht="28" customHeight="1" s="4">
      <c r="A14" s="10" t="inlineStr">
        <is>
          <t>Rent Roll Input + Rent Roll Config</t>
        </is>
      </c>
      <c r="B14" s="20" t="inlineStr">
        <is>
          <t>Rent Roll Master</t>
        </is>
      </c>
      <c r="C14" s="22" t="inlineStr">
        <is>
          <t>Auto-populates</t>
        </is>
      </c>
      <c r="D14" s="11" t="inlineStr">
        <is>
          <t>Raw pasted data + grouping rules → VBA generates Rent Roll Master (processed, grouped unit data table).</t>
        </is>
      </c>
    </row>
    <row r="15" ht="28" customHeight="1" s="4">
      <c r="A15" s="7" t="inlineStr">
        <is>
          <t>Rent Roll Master</t>
        </is>
      </c>
      <c r="B15" s="20" t="inlineStr">
        <is>
          <t>MF Market Rent</t>
        </is>
      </c>
      <c r="C15" s="22" t="inlineStr">
        <is>
          <t>Auto-populates</t>
        </is>
      </c>
      <c r="D15" s="8" t="inlineStr">
        <is>
          <t>MF Market Rent column index (row 2) maps to Rent Roll Master columns. Unit types, counts, and occupancy status auto-populate.</t>
        </is>
      </c>
    </row>
    <row r="16" ht="28" customHeight="1" s="4">
      <c r="A16" s="10" t="inlineStr">
        <is>
          <t>MF Market Rent</t>
        </is>
      </c>
      <c r="B16" s="20" t="inlineStr">
        <is>
          <t>MF Lease Up</t>
        </is>
      </c>
      <c r="C16" s="25" t="inlineStr">
        <is>
          <t>Feeds</t>
        </is>
      </c>
      <c r="D16" s="11" t="inlineStr">
        <is>
          <t>Pro Forma EGI (stabilized) linked from MF Market Rent as baseline for absorption schedule.</t>
        </is>
      </c>
    </row>
    <row r="17" ht="28" customHeight="1" s="4">
      <c r="A17" s="7" t="inlineStr">
        <is>
          <t>MF Market Rent</t>
        </is>
      </c>
      <c r="B17" s="20" t="inlineStr">
        <is>
          <t>Capitalization and Multipliers</t>
        </is>
      </c>
      <c r="C17" s="25" t="inlineStr">
        <is>
          <t>Feeds</t>
        </is>
      </c>
      <c r="D17" s="8" t="inlineStr">
        <is>
          <t>Asking/contract rents by unit type feed PGI calculation (Option 1: from Rent Roll).</t>
        </is>
      </c>
    </row>
    <row r="18" ht="28" customHeight="1" s="4">
      <c r="A18" s="10" t="inlineStr">
        <is>
          <t>Lease Grid</t>
        </is>
      </c>
      <c r="B18" s="20" t="inlineStr">
        <is>
          <t>Market Rent</t>
        </is>
      </c>
      <c r="C18" s="25" t="inlineStr">
        <is>
          <t>Feeds</t>
        </is>
      </c>
      <c r="D18" s="11" t="inlineStr">
        <is>
          <t>Selected comparable rent rates (tracked by 0x2a row 19 markers) flow to Market Rent conclusions per unit type.</t>
        </is>
      </c>
    </row>
    <row r="19" ht="28" customHeight="1" s="4">
      <c r="A19" s="7" t="inlineStr">
        <is>
          <t>Market Rent</t>
        </is>
      </c>
      <c r="B19" s="20" t="inlineStr">
        <is>
          <t>Report Narrative (N1*)</t>
        </is>
      </c>
      <c r="C19" s="25" t="inlineStr">
        <is>
          <t>Feeds</t>
        </is>
      </c>
      <c r="D19" s="8" t="inlineStr">
        <is>
          <t>N1_chtRentUtilitiesCostBurden named range feeds utilities chart/table in report narrative output.</t>
        </is>
      </c>
    </row>
    <row r="20" ht="28" customHeight="1" s="4">
      <c r="A20" s="10" t="inlineStr">
        <is>
          <t>Capitalization and Multipliers</t>
        </is>
      </c>
      <c r="B20" s="20" t="inlineStr">
        <is>
          <t>DirectCapConclusion</t>
        </is>
      </c>
      <c r="C20" s="25" t="inlineStr">
        <is>
          <t>Feeds</t>
        </is>
      </c>
      <c r="D20" s="11" t="inlineStr">
        <is>
          <t>NOI is primary input to Direct Cap value (NOI ÷ Cap Rate). Historical year labels also linked.</t>
        </is>
      </c>
    </row>
    <row r="21" ht="28" customHeight="1" s="4">
      <c r="A21" s="7" t="inlineStr">
        <is>
          <t>Capitalization and Multipliers</t>
        </is>
      </c>
      <c r="B21" s="20" t="inlineStr">
        <is>
          <t>Values tab</t>
        </is>
      </c>
      <c r="C21" s="25" t="inlineStr">
        <is>
          <t>Feeds</t>
        </is>
      </c>
      <c r="D21" s="8" t="inlineStr">
        <is>
          <t>N1DirCapValue named range → @Spell() converts value to written words for report narrative.</t>
        </is>
      </c>
    </row>
    <row r="22" ht="28" customHeight="1" s="4">
      <c r="A22" s="10" t="inlineStr">
        <is>
          <t>Investor Survey Output</t>
        </is>
      </c>
      <c r="B22" s="20" t="inlineStr">
        <is>
          <t>DirectCapConclusion</t>
        </is>
      </c>
      <c r="C22" s="25" t="inlineStr">
        <is>
          <t>Feeds</t>
        </is>
      </c>
      <c r="D22" s="11" t="inlineStr">
        <is>
          <t>Third-party cap rate range data (RERC, PwC, Nareit, NCREIF) supports cap rate selection.</t>
        </is>
      </c>
    </row>
    <row r="23" ht="28" customHeight="1" s="4">
      <c r="A23" s="7" t="inlineStr">
        <is>
          <t>MF Lease Up</t>
        </is>
      </c>
      <c r="B23" s="20" t="inlineStr">
        <is>
          <t>DirectCapConclusion</t>
        </is>
      </c>
      <c r="C23" s="25" t="inlineStr">
        <is>
          <t>Feeds</t>
        </is>
      </c>
      <c r="D23" s="8" t="inlineStr">
        <is>
          <t>PV of NOI Loss (lease-up discount) applied to arrive at As-Is value conclusion.</t>
        </is>
      </c>
    </row>
    <row r="24" ht="28" customHeight="1" s="4">
      <c r="A24" s="10" t="inlineStr">
        <is>
          <t>DirectCapConclusion</t>
        </is>
      </c>
      <c r="B24" s="20" t="inlineStr">
        <is>
          <t>Values tab / Appraisal Summary</t>
        </is>
      </c>
      <c r="C24" s="25" t="inlineStr">
        <is>
          <t>Feeds</t>
        </is>
      </c>
      <c r="D24" s="11" t="inlineStr">
        <is>
          <t>As-Is concluded value (N1AsIsValue) → @Spell() → appears in Values tab and Appraisal Summary.</t>
        </is>
      </c>
    </row>
    <row r="25" ht="28" customHeight="1" s="4">
      <c r="A25" s="7" t="inlineStr">
        <is>
          <t>pvaCbsaId (DB import)</t>
        </is>
      </c>
      <c r="B25" s="20" t="inlineStr">
        <is>
          <t>Investor Survey Output</t>
        </is>
      </c>
      <c r="C25" s="22" t="inlineStr">
        <is>
          <t>Auto-populates</t>
        </is>
      </c>
      <c r="D25" s="8" t="inlineStr">
        <is>
          <t>tblPwC_MSA IFERROR-INDEX-MATCH lookup auto-sets MSA dropdown based on subject's CBSA ID.</t>
        </is>
      </c>
    </row>
    <row r="26" ht="28" customHeight="1" s="4">
      <c r="A26" s="10" t="inlineStr">
        <is>
          <t>State Abbreviation (File Info)</t>
        </is>
      </c>
      <c r="B26" s="20" t="inlineStr">
        <is>
          <t>Income Approach Setup (Rental Rate Method)</t>
        </is>
      </c>
      <c r="C26" s="22" t="inlineStr">
        <is>
          <t>Auto-populates</t>
        </is>
      </c>
      <c r="D26" s="11" t="inlineStr">
        <is>
          <t>tblRentalRateMethod lookup auto-sets rental rate convention ($/SF vs $/Unit etc.) based on state.</t>
        </is>
      </c>
    </row>
    <row r="27" ht="28" customHeight="1" s="4">
      <c r="A27" s="7" t="inlineStr">
        <is>
          <t>Site</t>
        </is>
      </c>
      <c r="B27" s="20" t="inlineStr">
        <is>
          <t>Land Grid</t>
        </is>
      </c>
      <c r="C27" s="25" t="inlineStr">
        <is>
          <t>Feeds</t>
        </is>
      </c>
      <c r="D27" s="8" t="inlineStr">
        <is>
          <t>Subject land area (SF) appears in Land Grid subject column for comparison with land comps.</t>
        </is>
      </c>
    </row>
    <row r="28" ht="28" customHeight="1" s="4">
      <c r="A28" s="10" t="inlineStr">
        <is>
          <t>Dates, Premises</t>
        </is>
      </c>
      <c r="B28" s="20" t="inlineStr">
        <is>
          <t>DirectCapConclusion, Values tab</t>
        </is>
      </c>
      <c r="C28" s="25" t="inlineStr">
        <is>
          <t>Feeds</t>
        </is>
      </c>
      <c r="D28" s="11" t="inlineStr">
        <is>
          <t>Effective dates per premise appear in value conclusion headers.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6" customWidth="1" style="4" min="1" max="1"/>
    <col width="50" customWidth="1" style="4" min="2" max="2"/>
    <col width="45" customWidth="1" style="4" min="3" max="3"/>
  </cols>
  <sheetData>
    <row r="1" ht="32" customHeight="1" s="4">
      <c r="A1" s="5" t="inlineStr">
        <is>
          <t>Notes &amp; Findings — Gaps, Assumptions &amp; Open Questions</t>
        </is>
      </c>
    </row>
    <row r="2">
      <c r="A2" s="6" t="inlineStr">
        <is>
          <t>Area / Tab</t>
        </is>
      </c>
      <c r="B2" s="6" t="inlineStr">
        <is>
          <t>Finding / Note</t>
        </is>
      </c>
      <c r="C2" s="6" t="inlineStr">
        <is>
          <t>Open Question / Recommendation</t>
        </is>
      </c>
    </row>
    <row r="3" ht="20" customHeight="1" s="4">
      <c r="A3" s="26" t="inlineStr">
        <is>
          <t xml:space="preserve">  28 TABS ANALYSIS vs. JIRA REQUIREMENTS</t>
        </is>
      </c>
    </row>
    <row r="4" ht="55" customHeight="1" s="4">
      <c r="A4" s="10" t="inlineStr">
        <is>
          <t>Tab Coverage</t>
        </is>
      </c>
      <c r="B4" s="11" t="inlineStr">
        <is>
          <t>The Jira ticket lists 28 tabs. The uploaded 28tabs_xlsx file appears corrupted (all null bytes) so direct verification against the reduced workbook was not possible. Analysis is based on the previously extracted workbench CSV data and formula inventory.</t>
        </is>
      </c>
      <c r="C4" s="27" t="inlineStr">
        <is>
          <t>ACTION: Please re-upload a working copy of the 28-tab reduced XLSB or share via VM for verification.</t>
        </is>
      </c>
    </row>
    <row r="5" ht="55" customHeight="1" s="4">
      <c r="A5" s="28" t="inlineStr">
        <is>
          <t>Jira Tab: 'Sale Approach'</t>
        </is>
      </c>
      <c r="B5" s="29" t="inlineStr">
        <is>
          <t>Jira ticket lists 'Sale Approach' as a tab. The template uses 'Sale Comp Profiles'. In the actual workbench there are two separate tabs: Sales Grid (analysis) and Sales Approach (conclusion). Confirm whether both are needed.</t>
        </is>
      </c>
      <c r="C5" s="27" t="inlineStr">
        <is>
          <t>Confirm: Is 'Sale Approach' = the Sales Approach conclusion tab or the Sales Grid? Both may need to be in scope.</t>
        </is>
      </c>
    </row>
    <row r="6" ht="55" customHeight="1" s="4">
      <c r="A6" s="10" t="inlineStr">
        <is>
          <t>Jira Tab: 'Income Approach'</t>
        </is>
      </c>
      <c r="B6" s="11" t="inlineStr">
        <is>
          <t>Jira ticket lists 'Income Approach' — the workbench uses 'Income Approach Setup' for configuration. The full income approach spans ~15 tabs. Scope may need clarification.</t>
        </is>
      </c>
      <c r="C6" s="27" t="inlineStr">
        <is>
          <t>Confirm: Does 'Income Approach' in Jira mean Income Approach Setup tab only, or all income approach tabs?</t>
        </is>
      </c>
    </row>
    <row r="7" ht="55" customHeight="1" s="4">
      <c r="A7" s="28" t="inlineStr">
        <is>
          <t>Missing from Jira but important</t>
        </is>
      </c>
      <c r="B7" s="29" t="inlineStr">
        <is>
          <t>The following tabs are NOT listed in the Jira 28 but contain critical data for a complete seeding spec: Rent Roll Master (auto-generated, key bridge tab), Values tab (final value conclusions), Sales Approach (conclusion tab), COA Map tabs (financial spreading).</t>
        </is>
      </c>
      <c r="C7" s="27" t="inlineStr">
        <is>
          <t>Recommend adding Rent Roll Master and Values tab to the in-scope list for completeness.</t>
        </is>
      </c>
    </row>
    <row r="8" ht="55" customHeight="1" s="4">
      <c r="A8" s="10" t="inlineStr">
        <is>
          <t>Template — Tab Inventory sheet</t>
        </is>
      </c>
      <c r="B8" s="11" t="inlineStr">
        <is>
          <t>Template has the correct 28 tabs listed but all Category, Purpose, Input/Calc/Output, and Notes columns are empty. ✅ Now fully populated in this spec.</t>
        </is>
      </c>
      <c r="C8" s="27" t="inlineStr">
        <is>
          <t>No action needed — fully populated.</t>
        </is>
      </c>
    </row>
    <row r="9" ht="55" customHeight="1" s="4">
      <c r="A9" s="28" t="inlineStr">
        <is>
          <t>Template — Field Inventory sheet</t>
        </is>
      </c>
      <c r="B9" s="29" t="inlineStr">
        <is>
          <t>Template columns are correct (Tab Name, Field Name, Input, Calculated, Dropdown, Data Type, Notes) but empty. Added: Required?, Named Range/Key columns for dev team. ✅ Now populated with 130+ fields.</t>
        </is>
      </c>
      <c r="C9" s="27" t="inlineStr">
        <is>
          <t>Consider adding a 'Cell Reference' column for exact workbench cell coordinates (e.g. B5, I13) to help the API seeding implementation.</t>
        </is>
      </c>
    </row>
    <row r="10" ht="55" customHeight="1" s="4">
      <c r="A10" s="10" t="inlineStr">
        <is>
          <t>Template — Field Mapping sheet</t>
        </is>
      </c>
      <c r="B10" s="11" t="inlineStr">
        <is>
          <t>Template had Source Tab → Used By Tab → Used For columns. ✅ Now populated with 30 cross-tab data flow mappings.</t>
        </is>
      </c>
      <c r="C10" s="27" t="inlineStr">
        <is>
          <t>No action needed — fully populated.</t>
        </is>
      </c>
    </row>
    <row r="11" ht="55" customHeight="1" s="4">
      <c r="A11" s="28" t="inlineStr">
        <is>
          <t>Template — Dropdown Values sheet</t>
        </is>
      </c>
      <c r="B11" s="29" t="inlineStr">
        <is>
          <t>Template had Tab/Field/Values columns. ✅ Now populated with 75+ dropdown fields and all their options.</t>
        </is>
      </c>
      <c r="C11" s="27" t="inlineStr">
        <is>
          <t>VBA macros in the workbench dynamically build some dropdown lists (GetDropDownListFormula() UDF). Static lists are in the 'Lists' tab of the workbench. Confirm all options are captured.</t>
        </is>
      </c>
    </row>
    <row r="12" ht="55" customHeight="1" s="4">
      <c r="A12" s="10" t="inlineStr">
        <is>
          <t>Template — Calculated Fields sheet</t>
        </is>
      </c>
      <c r="B12" s="11" t="inlineStr">
        <is>
          <t>Template had Tab/Field/Formula Logic/Depends On. ✅ Now populated with 48 calculated fields and their formula patterns.</t>
        </is>
      </c>
      <c r="C12" s="27" t="inlineStr">
        <is>
          <t>Some formulas use custom UDFs (@Spell, hideblankorerror, DistanceBetweenLatLongPoints) that are workbench-specific VBA functions. These will not work outside the workbench environment.</t>
        </is>
      </c>
    </row>
    <row r="13" ht="55" customHeight="1" s="4">
      <c r="A13" s="28" t="inlineStr">
        <is>
          <t>Box API Integration</t>
        </is>
      </c>
      <c r="B13" s="29" t="inlineStr">
        <is>
          <t>The Jira ticket asks: Can we pull the XLSB from a Box folder, populate data, and run macros? Answer: YES via Box Content API. Box SDK supports: (1) GET /folders/{folder_id}/items to list files, (2) GET /files/{file_id}/content to download, (3) PUT /files/{file_id}/content to upload modified file.</t>
        </is>
      </c>
      <c r="C13" s="27" t="inlineStr">
        <is>
          <t>Implementation requires: Box OAuth2 app credentials, folder_id for the project folder, file_id for the workbench XLSB. Use pyxlsb (read) + openpyxl (write) for data population.</t>
        </is>
      </c>
    </row>
    <row r="14" ht="55" customHeight="1" s="4">
      <c r="A14" s="10" t="inlineStr">
        <is>
          <t>Box API — Macro Execution</t>
        </is>
      </c>
      <c r="B14" s="11" t="inlineStr">
        <is>
          <t>The workbench is macro-enabled (VBA). Calculated fields like @Spell(), tblRentalRateMethod lookups, and pva* named range updates are driven by VBA. Simply populating cells via API will NOT trigger VBA macros — the file must be opened and macros run in Excel.</t>
        </is>
      </c>
      <c r="C14" s="27" t="inlineStr">
        <is>
          <t>Options: (1) LibreOffice macro execution in CI/CD pipeline (limited VBA support), (2) Windows VM with Excel + xlwings Python library for Excel automation, (3) Azure Functions with Excel API (Microsoft 365), (4) Populate only pure input fields via API; calculated fields auto-resolve when Excel opens.</t>
        </is>
      </c>
    </row>
    <row r="15" ht="55" customHeight="1" s="4">
      <c r="A15" s="28" t="inlineStr">
        <is>
          <t>Box API — Recommended Flow</t>
        </is>
      </c>
      <c r="B15" s="29" t="inlineStr">
        <is>
          <t>Recommended implementation: 1) Box API → download XLSB to temp storage, 2) Python/pyxlsb → read current values, 3) openpyxl or xlwings → write input fields only (blue cells = user entry), 4) Upload to Box, 5) User opens file in Excel → VBA macros auto-execute on open → calculated fields populate.</t>
        </is>
      </c>
      <c r="C15" s="27" t="inlineStr">
        <is>
          <t>The key constraint: VBA macros run ONLY when Excel opens the file. Do not attempt to pre-calculate VBA-driven fields in Python — let Excel do it.</t>
        </is>
      </c>
    </row>
    <row r="16" ht="55" customHeight="1" s="4">
      <c r="A16" s="10" t="inlineStr">
        <is>
          <t>VBA Named Ranges (pva*)</t>
        </is>
      </c>
      <c r="B16" s="11" t="inlineStr">
        <is>
          <t>65+ pva* named ranges are the primary mechanism by which Settings tab values propagate across all tabs. When seeding data via API, the pva* named ranges must be set correctly for the workbook to behave as expected.</t>
        </is>
      </c>
      <c r="C16" s="27" t="inlineStr">
        <is>
          <t>When populating via API: set pvaPropertyTypeKey, pvaUOC_Settings, pvaIncomeApproach_* named ranges directly via openpyxl's defined_names API, not just the cell values. Both the cell AND the named range need to be updated.</t>
        </is>
      </c>
    </row>
    <row r="17" ht="55" customHeight="1" s="4">
      <c r="A17" s="28" t="inlineStr">
        <is>
          <t>Custom UDFs</t>
        </is>
      </c>
      <c r="B17" s="29" t="inlineStr">
        <is>
          <t>5 custom VBA UDFs are used: @Spell, Spell, hideblankorerror, DistanceBetweenLatLongPoints, GetDropDownListFormula. These are NOT standard Excel functions and will show #NAME? errors if the file is opened without the VBA add-in loaded.</t>
        </is>
      </c>
      <c r="C17" s="27" t="inlineStr">
        <is>
          <t>Do not rely on @Spell() or hideblankorerror() outputs being correct in any Python-based extraction. Extract pre-calculated values only when file is opened in native Excel environment.</t>
        </is>
      </c>
    </row>
    <row r="18" ht="55" customHeight="1" s="4">
      <c r="A18" s="10" t="inlineStr">
        <is>
          <t>Date Fields</t>
        </is>
      </c>
      <c r="B18" s="11" t="inlineStr">
        <is>
          <t>Report Date, Inspection Date, Effective Dates, Sale Dates, Lease Dates must be supplied as Excel serial numbers (or datetime objects) not text strings, to ensure date-dependent formulas (YEAR(), MONTH(), TODAY()-45) work correctly.</t>
        </is>
      </c>
      <c r="C18" s="27" t="inlineStr">
        <is>
          <t>Use openpyxl datetime objects: from datetime import date; ws['B5'] = date(2025, 12, 15)</t>
        </is>
      </c>
    </row>
    <row r="19" ht="55" customHeight="1" s="4">
      <c r="A19" s="28" t="inlineStr">
        <is>
          <t>Currency Precision</t>
        </is>
      </c>
      <c r="B19" s="29" t="inlineStr">
        <is>
          <t>All currency fields use $#,##0 format (no decimals for property values, 2 decimals for rates). Cap rates and percentages use 0.000 format (3 decimal places in workbench).</t>
        </is>
      </c>
      <c r="C19" s="27" t="inlineStr">
        <is>
          <t>Validate that seeded currency values are numeric, not strings. Strip $ and commas before writing.</t>
        </is>
      </c>
    </row>
    <row r="20" ht="55" customHeight="1" s="4">
      <c r="A20" s="10" t="inlineStr">
        <is>
          <t>Percentage Fields</t>
        </is>
      </c>
      <c r="B20" s="11" t="inlineStr">
        <is>
          <t>Cap rates, V&amp;CL %, assessment ratios, vacancy % stored as decimal values (0.05 = 5%), not whole numbers.</t>
        </is>
      </c>
      <c r="C20" s="27" t="inlineStr">
        <is>
          <t>Ensure API sends 0.05 not 5 for percentage fields. Common seeding error.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2026-06-03T10:00:41Z</dcterms:created>
  <dcterms:modified xmlns:dcterms="http://purl.org/dc/terms/" xmlns:xsi="http://www.w3.org/2001/XMLSchema-instance" xsi:type="dcterms:W3CDTF">2026-06-03T10:00:43Z</dcterms:modified>
</cp:coreProperties>
</file>